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70" yWindow="140" windowWidth="25860" windowHeight="909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AD39" i="1" l="1"/>
  <c r="AC39" i="1"/>
  <c r="W39" i="1"/>
  <c r="Z39" i="1" s="1"/>
  <c r="V39" i="1"/>
  <c r="AA39" i="1" s="1"/>
  <c r="U39" i="1"/>
  <c r="S39" i="1"/>
  <c r="X39" i="1" s="1"/>
  <c r="R39" i="1"/>
  <c r="Q39" i="1"/>
  <c r="O39" i="1"/>
  <c r="L39" i="1"/>
  <c r="M39" i="1" s="1"/>
  <c r="N39" i="1" s="1"/>
  <c r="P39" i="1" s="1"/>
  <c r="AB39" i="1" s="1"/>
  <c r="G39" i="1"/>
  <c r="K39" i="1" s="1"/>
  <c r="AD38" i="1"/>
  <c r="AC38" i="1"/>
  <c r="W38" i="1"/>
  <c r="Z38" i="1" s="1"/>
  <c r="V38" i="1"/>
  <c r="AA38" i="1" s="1"/>
  <c r="U38" i="1"/>
  <c r="S38" i="1"/>
  <c r="T38" i="1" s="1"/>
  <c r="R38" i="1"/>
  <c r="Q38" i="1"/>
  <c r="O38" i="1"/>
  <c r="L38" i="1"/>
  <c r="M38" i="1" s="1"/>
  <c r="N38" i="1" s="1"/>
  <c r="P38" i="1" s="1"/>
  <c r="AB38" i="1" s="1"/>
  <c r="G38" i="1"/>
  <c r="H38" i="1" s="1"/>
  <c r="AD37" i="1"/>
  <c r="AC37" i="1"/>
  <c r="W37" i="1"/>
  <c r="Z37" i="1" s="1"/>
  <c r="V37" i="1"/>
  <c r="AA37" i="1" s="1"/>
  <c r="U37" i="1"/>
  <c r="S37" i="1"/>
  <c r="X37" i="1" s="1"/>
  <c r="R37" i="1"/>
  <c r="Q37" i="1"/>
  <c r="O37" i="1"/>
  <c r="L37" i="1"/>
  <c r="M37" i="1" s="1"/>
  <c r="N37" i="1" s="1"/>
  <c r="G37" i="1"/>
  <c r="H37" i="1" s="1"/>
  <c r="AD36" i="1"/>
  <c r="AC36" i="1"/>
  <c r="W36" i="1"/>
  <c r="Z36" i="1" s="1"/>
  <c r="V36" i="1"/>
  <c r="AA36" i="1" s="1"/>
  <c r="U36" i="1"/>
  <c r="S36" i="1"/>
  <c r="X36" i="1" s="1"/>
  <c r="R36" i="1"/>
  <c r="Q36" i="1"/>
  <c r="O36" i="1"/>
  <c r="L36" i="1"/>
  <c r="M36" i="1" s="1"/>
  <c r="N36" i="1" s="1"/>
  <c r="P36" i="1" s="1"/>
  <c r="AB36" i="1" s="1"/>
  <c r="G36" i="1"/>
  <c r="K36" i="1" s="1"/>
  <c r="AD35" i="1"/>
  <c r="AC35" i="1"/>
  <c r="W35" i="1"/>
  <c r="Z35" i="1" s="1"/>
  <c r="V35" i="1"/>
  <c r="AA35" i="1" s="1"/>
  <c r="U35" i="1"/>
  <c r="S35" i="1"/>
  <c r="T35" i="1" s="1"/>
  <c r="R35" i="1"/>
  <c r="Q35" i="1"/>
  <c r="O35" i="1"/>
  <c r="L35" i="1"/>
  <c r="M35" i="1" s="1"/>
  <c r="N35" i="1" s="1"/>
  <c r="P35" i="1" s="1"/>
  <c r="AB35" i="1" s="1"/>
  <c r="G35" i="1"/>
  <c r="AD34" i="1"/>
  <c r="AC34" i="1"/>
  <c r="W34" i="1"/>
  <c r="Z34" i="1" s="1"/>
  <c r="V34" i="1"/>
  <c r="AA34" i="1" s="1"/>
  <c r="U34" i="1"/>
  <c r="S34" i="1"/>
  <c r="X34" i="1" s="1"/>
  <c r="R34" i="1"/>
  <c r="Q34" i="1"/>
  <c r="O34" i="1"/>
  <c r="L34" i="1"/>
  <c r="M34" i="1" s="1"/>
  <c r="N34" i="1" s="1"/>
  <c r="G34" i="1"/>
  <c r="K34" i="1" s="1"/>
  <c r="AD33" i="1"/>
  <c r="AC33" i="1"/>
  <c r="W33" i="1"/>
  <c r="Z33" i="1" s="1"/>
  <c r="V33" i="1"/>
  <c r="AA33" i="1" s="1"/>
  <c r="U33" i="1"/>
  <c r="S33" i="1"/>
  <c r="T33" i="1" s="1"/>
  <c r="R33" i="1"/>
  <c r="Q33" i="1"/>
  <c r="O33" i="1"/>
  <c r="L33" i="1"/>
  <c r="M33" i="1" s="1"/>
  <c r="N33" i="1" s="1"/>
  <c r="P33" i="1" s="1"/>
  <c r="AB33" i="1" s="1"/>
  <c r="G33" i="1"/>
  <c r="H33" i="1" s="1"/>
  <c r="AD32" i="1"/>
  <c r="AC32" i="1"/>
  <c r="W32" i="1"/>
  <c r="Z32" i="1" s="1"/>
  <c r="V32" i="1"/>
  <c r="AA32" i="1" s="1"/>
  <c r="U32" i="1"/>
  <c r="S32" i="1"/>
  <c r="X32" i="1" s="1"/>
  <c r="R32" i="1"/>
  <c r="Q32" i="1"/>
  <c r="O32" i="1"/>
  <c r="L32" i="1"/>
  <c r="M32" i="1" s="1"/>
  <c r="N32" i="1" s="1"/>
  <c r="P32" i="1" s="1"/>
  <c r="AB32" i="1" s="1"/>
  <c r="G32" i="1"/>
  <c r="K32" i="1" s="1"/>
  <c r="AD31" i="1"/>
  <c r="AC31" i="1"/>
  <c r="W31" i="1"/>
  <c r="Z31" i="1" s="1"/>
  <c r="V31" i="1"/>
  <c r="AA31" i="1" s="1"/>
  <c r="U31" i="1"/>
  <c r="S31" i="1"/>
  <c r="X31" i="1" s="1"/>
  <c r="R31" i="1"/>
  <c r="Q31" i="1"/>
  <c r="O31" i="1"/>
  <c r="L31" i="1"/>
  <c r="M31" i="1" s="1"/>
  <c r="N31" i="1" s="1"/>
  <c r="G31" i="1"/>
  <c r="K31" i="1" s="1"/>
  <c r="AD30" i="1"/>
  <c r="AC30" i="1"/>
  <c r="W30" i="1"/>
  <c r="Z30" i="1" s="1"/>
  <c r="V30" i="1"/>
  <c r="AA30" i="1" s="1"/>
  <c r="U30" i="1"/>
  <c r="S30" i="1"/>
  <c r="X30" i="1" s="1"/>
  <c r="R30" i="1"/>
  <c r="Q30" i="1"/>
  <c r="O30" i="1"/>
  <c r="L30" i="1"/>
  <c r="M30" i="1" s="1"/>
  <c r="N30" i="1" s="1"/>
  <c r="P30" i="1" s="1"/>
  <c r="AB30" i="1" s="1"/>
  <c r="G30" i="1"/>
  <c r="K30" i="1" s="1"/>
  <c r="AD29" i="1"/>
  <c r="AC29" i="1"/>
  <c r="W29" i="1"/>
  <c r="Z29" i="1" s="1"/>
  <c r="V29" i="1"/>
  <c r="AA29" i="1" s="1"/>
  <c r="U29" i="1"/>
  <c r="S29" i="1"/>
  <c r="X29" i="1" s="1"/>
  <c r="R29" i="1"/>
  <c r="Q29" i="1"/>
  <c r="O29" i="1"/>
  <c r="L29" i="1"/>
  <c r="M29" i="1" s="1"/>
  <c r="N29" i="1" s="1"/>
  <c r="P29" i="1" s="1"/>
  <c r="AB29" i="1" s="1"/>
  <c r="G29" i="1"/>
  <c r="K29" i="1" s="1"/>
  <c r="AD28" i="1"/>
  <c r="AC28" i="1"/>
  <c r="W28" i="1"/>
  <c r="Z28" i="1" s="1"/>
  <c r="V28" i="1"/>
  <c r="AA28" i="1" s="1"/>
  <c r="U28" i="1"/>
  <c r="S28" i="1"/>
  <c r="T28" i="1" s="1"/>
  <c r="R28" i="1"/>
  <c r="Q28" i="1"/>
  <c r="O28" i="1"/>
  <c r="L28" i="1"/>
  <c r="M28" i="1" s="1"/>
  <c r="N28" i="1" s="1"/>
  <c r="P28" i="1" s="1"/>
  <c r="AB28" i="1" s="1"/>
  <c r="G28" i="1"/>
  <c r="I28" i="1" s="1"/>
  <c r="R27" i="1"/>
  <c r="Q27" i="1"/>
  <c r="E27" i="1"/>
  <c r="U27" i="1" s="1"/>
  <c r="AD26" i="1"/>
  <c r="AC26" i="1"/>
  <c r="W26" i="1"/>
  <c r="Z26" i="1" s="1"/>
  <c r="V26" i="1"/>
  <c r="AA26" i="1" s="1"/>
  <c r="U26" i="1"/>
  <c r="S26" i="1"/>
  <c r="T26" i="1" s="1"/>
  <c r="R26" i="1"/>
  <c r="Q26" i="1"/>
  <c r="O26" i="1"/>
  <c r="L26" i="1"/>
  <c r="M26" i="1" s="1"/>
  <c r="N26" i="1" s="1"/>
  <c r="P26" i="1" s="1"/>
  <c r="AB26" i="1" s="1"/>
  <c r="G26" i="1"/>
  <c r="K26" i="1" s="1"/>
  <c r="AD25" i="1"/>
  <c r="AC25" i="1"/>
  <c r="W25" i="1"/>
  <c r="Z25" i="1" s="1"/>
  <c r="V25" i="1"/>
  <c r="AA25" i="1" s="1"/>
  <c r="U25" i="1"/>
  <c r="S25" i="1"/>
  <c r="X25" i="1" s="1"/>
  <c r="R25" i="1"/>
  <c r="Q25" i="1"/>
  <c r="O25" i="1"/>
  <c r="L25" i="1"/>
  <c r="M25" i="1" s="1"/>
  <c r="N25" i="1" s="1"/>
  <c r="P25" i="1" s="1"/>
  <c r="AB25" i="1" s="1"/>
  <c r="G25" i="1"/>
  <c r="K25" i="1" s="1"/>
  <c r="AD24" i="1"/>
  <c r="AC24" i="1"/>
  <c r="W24" i="1"/>
  <c r="Z24" i="1" s="1"/>
  <c r="V24" i="1"/>
  <c r="AA24" i="1" s="1"/>
  <c r="U24" i="1"/>
  <c r="S24" i="1"/>
  <c r="X24" i="1" s="1"/>
  <c r="R24" i="1"/>
  <c r="Q24" i="1"/>
  <c r="O24" i="1"/>
  <c r="L24" i="1"/>
  <c r="M24" i="1" s="1"/>
  <c r="N24" i="1" s="1"/>
  <c r="P24" i="1" s="1"/>
  <c r="AB24" i="1" s="1"/>
  <c r="G24" i="1"/>
  <c r="K24" i="1" s="1"/>
  <c r="AD23" i="1"/>
  <c r="AC23" i="1"/>
  <c r="W23" i="1"/>
  <c r="Z23" i="1" s="1"/>
  <c r="V23" i="1"/>
  <c r="AA23" i="1" s="1"/>
  <c r="U23" i="1"/>
  <c r="S23" i="1"/>
  <c r="T23" i="1" s="1"/>
  <c r="R23" i="1"/>
  <c r="Q23" i="1"/>
  <c r="O23" i="1"/>
  <c r="L23" i="1"/>
  <c r="M23" i="1" s="1"/>
  <c r="N23" i="1" s="1"/>
  <c r="P23" i="1" s="1"/>
  <c r="AB23" i="1" s="1"/>
  <c r="G23" i="1"/>
  <c r="K23" i="1" s="1"/>
  <c r="AD22" i="1"/>
  <c r="AC22" i="1"/>
  <c r="W22" i="1"/>
  <c r="Z22" i="1" s="1"/>
  <c r="V22" i="1"/>
  <c r="AA22" i="1" s="1"/>
  <c r="U22" i="1"/>
  <c r="S22" i="1"/>
  <c r="T22" i="1" s="1"/>
  <c r="R22" i="1"/>
  <c r="Q22" i="1"/>
  <c r="O22" i="1"/>
  <c r="L22" i="1"/>
  <c r="M22" i="1" s="1"/>
  <c r="N22" i="1" s="1"/>
  <c r="G22" i="1"/>
  <c r="K22" i="1" s="1"/>
  <c r="AD21" i="1"/>
  <c r="AC21" i="1"/>
  <c r="W21" i="1"/>
  <c r="Z21" i="1" s="1"/>
  <c r="V21" i="1"/>
  <c r="AA21" i="1" s="1"/>
  <c r="U21" i="1"/>
  <c r="S21" i="1"/>
  <c r="X21" i="1" s="1"/>
  <c r="R21" i="1"/>
  <c r="Q21" i="1"/>
  <c r="O21" i="1"/>
  <c r="L21" i="1"/>
  <c r="M21" i="1" s="1"/>
  <c r="N21" i="1" s="1"/>
  <c r="P21" i="1" s="1"/>
  <c r="AB21" i="1" s="1"/>
  <c r="G21" i="1"/>
  <c r="I21" i="1" s="1"/>
  <c r="AD20" i="1"/>
  <c r="AC20" i="1"/>
  <c r="W20" i="1"/>
  <c r="Z20" i="1" s="1"/>
  <c r="V20" i="1"/>
  <c r="AA20" i="1" s="1"/>
  <c r="U20" i="1"/>
  <c r="S20" i="1"/>
  <c r="T20" i="1" s="1"/>
  <c r="R20" i="1"/>
  <c r="Q20" i="1"/>
  <c r="O20" i="1"/>
  <c r="L20" i="1"/>
  <c r="M20" i="1" s="1"/>
  <c r="N20" i="1" s="1"/>
  <c r="P20" i="1" s="1"/>
  <c r="AB20" i="1" s="1"/>
  <c r="G20" i="1"/>
  <c r="K20" i="1" s="1"/>
  <c r="AD19" i="1"/>
  <c r="AC19" i="1"/>
  <c r="W19" i="1"/>
  <c r="Z19" i="1" s="1"/>
  <c r="V19" i="1"/>
  <c r="AA19" i="1" s="1"/>
  <c r="U19" i="1"/>
  <c r="S19" i="1"/>
  <c r="T19" i="1" s="1"/>
  <c r="R19" i="1"/>
  <c r="Q19" i="1"/>
  <c r="O19" i="1"/>
  <c r="L19" i="1"/>
  <c r="M19" i="1" s="1"/>
  <c r="N19" i="1" s="1"/>
  <c r="P19" i="1" s="1"/>
  <c r="AB19" i="1" s="1"/>
  <c r="G19" i="1"/>
  <c r="AD18" i="1"/>
  <c r="AC18" i="1"/>
  <c r="W18" i="1"/>
  <c r="Z18" i="1" s="1"/>
  <c r="V18" i="1"/>
  <c r="AA18" i="1" s="1"/>
  <c r="U18" i="1"/>
  <c r="S18" i="1"/>
  <c r="X18" i="1" s="1"/>
  <c r="R18" i="1"/>
  <c r="Q18" i="1"/>
  <c r="O18" i="1"/>
  <c r="L18" i="1"/>
  <c r="M18" i="1" s="1"/>
  <c r="N18" i="1" s="1"/>
  <c r="P18" i="1" s="1"/>
  <c r="AB18" i="1" s="1"/>
  <c r="G18" i="1"/>
  <c r="K18" i="1" s="1"/>
  <c r="AD17" i="1"/>
  <c r="AC17" i="1"/>
  <c r="W17" i="1"/>
  <c r="Z17" i="1" s="1"/>
  <c r="V17" i="1"/>
  <c r="AA17" i="1" s="1"/>
  <c r="U17" i="1"/>
  <c r="S17" i="1"/>
  <c r="R17" i="1"/>
  <c r="Q17" i="1"/>
  <c r="O17" i="1"/>
  <c r="L17" i="1"/>
  <c r="M17" i="1" s="1"/>
  <c r="N17" i="1" s="1"/>
  <c r="P17" i="1" s="1"/>
  <c r="AB17" i="1" s="1"/>
  <c r="G17" i="1"/>
  <c r="H17" i="1" s="1"/>
  <c r="R16" i="1"/>
  <c r="Q16" i="1"/>
  <c r="E16" i="1"/>
  <c r="V16" i="1" s="1"/>
  <c r="AA16" i="1" s="1"/>
  <c r="D16" i="1"/>
  <c r="AD15" i="1"/>
  <c r="AC15" i="1"/>
  <c r="W15" i="1"/>
  <c r="Z15" i="1" s="1"/>
  <c r="V15" i="1"/>
  <c r="AA15" i="1" s="1"/>
  <c r="U15" i="1"/>
  <c r="S15" i="1"/>
  <c r="T15" i="1" s="1"/>
  <c r="R15" i="1"/>
  <c r="Q15" i="1"/>
  <c r="O15" i="1"/>
  <c r="L15" i="1"/>
  <c r="M15" i="1" s="1"/>
  <c r="N15" i="1" s="1"/>
  <c r="P15" i="1" s="1"/>
  <c r="AB15" i="1" s="1"/>
  <c r="G15" i="1"/>
  <c r="H15" i="1" s="1"/>
  <c r="AD14" i="1"/>
  <c r="AC14" i="1"/>
  <c r="W14" i="1"/>
  <c r="Z14" i="1" s="1"/>
  <c r="V14" i="1"/>
  <c r="AA14" i="1" s="1"/>
  <c r="U14" i="1"/>
  <c r="S14" i="1"/>
  <c r="T14" i="1" s="1"/>
  <c r="R14" i="1"/>
  <c r="Q14" i="1"/>
  <c r="O14" i="1"/>
  <c r="L14" i="1"/>
  <c r="M14" i="1" s="1"/>
  <c r="N14" i="1" s="1"/>
  <c r="P14" i="1" s="1"/>
  <c r="AB14" i="1" s="1"/>
  <c r="G14" i="1"/>
  <c r="I14" i="1" s="1"/>
  <c r="AD13" i="1"/>
  <c r="AC13" i="1"/>
  <c r="W13" i="1"/>
  <c r="Z13" i="1" s="1"/>
  <c r="V13" i="1"/>
  <c r="AA13" i="1" s="1"/>
  <c r="U13" i="1"/>
  <c r="S13" i="1"/>
  <c r="T13" i="1" s="1"/>
  <c r="R13" i="1"/>
  <c r="Q13" i="1"/>
  <c r="O13" i="1"/>
  <c r="L13" i="1"/>
  <c r="M13" i="1" s="1"/>
  <c r="N13" i="1" s="1"/>
  <c r="P13" i="1" s="1"/>
  <c r="AB13" i="1" s="1"/>
  <c r="G13" i="1"/>
  <c r="K13" i="1" s="1"/>
  <c r="AD12" i="1"/>
  <c r="AC12" i="1"/>
  <c r="W12" i="1"/>
  <c r="Z12" i="1" s="1"/>
  <c r="V12" i="1"/>
  <c r="AA12" i="1" s="1"/>
  <c r="U12" i="1"/>
  <c r="S12" i="1"/>
  <c r="X12" i="1" s="1"/>
  <c r="R12" i="1"/>
  <c r="Q12" i="1"/>
  <c r="O12" i="1"/>
  <c r="L12" i="1"/>
  <c r="M12" i="1" s="1"/>
  <c r="N12" i="1" s="1"/>
  <c r="P12" i="1" s="1"/>
  <c r="AB12" i="1" s="1"/>
  <c r="G12" i="1"/>
  <c r="H12" i="1" s="1"/>
  <c r="AD11" i="1"/>
  <c r="AC11" i="1"/>
  <c r="W11" i="1"/>
  <c r="Z11" i="1" s="1"/>
  <c r="V11" i="1"/>
  <c r="AA11" i="1" s="1"/>
  <c r="U11" i="1"/>
  <c r="S11" i="1"/>
  <c r="X11" i="1" s="1"/>
  <c r="R11" i="1"/>
  <c r="Q11" i="1"/>
  <c r="O11" i="1"/>
  <c r="L11" i="1"/>
  <c r="M11" i="1" s="1"/>
  <c r="N11" i="1" s="1"/>
  <c r="G11" i="1"/>
  <c r="I11" i="1" s="1"/>
  <c r="AD10" i="1"/>
  <c r="AC10" i="1"/>
  <c r="W10" i="1"/>
  <c r="Z10" i="1" s="1"/>
  <c r="V10" i="1"/>
  <c r="AA10" i="1" s="1"/>
  <c r="U10" i="1"/>
  <c r="S10" i="1"/>
  <c r="X10" i="1" s="1"/>
  <c r="R10" i="1"/>
  <c r="Q10" i="1"/>
  <c r="O10" i="1"/>
  <c r="L10" i="1"/>
  <c r="M10" i="1" s="1"/>
  <c r="N10" i="1" s="1"/>
  <c r="P10" i="1" s="1"/>
  <c r="AB10" i="1" s="1"/>
  <c r="G10" i="1"/>
  <c r="K10" i="1" s="1"/>
  <c r="AD9" i="1"/>
  <c r="AC9" i="1"/>
  <c r="W9" i="1"/>
  <c r="Z9" i="1" s="1"/>
  <c r="V9" i="1"/>
  <c r="AA9" i="1" s="1"/>
  <c r="U9" i="1"/>
  <c r="S9" i="1"/>
  <c r="T9" i="1" s="1"/>
  <c r="R9" i="1"/>
  <c r="Q9" i="1"/>
  <c r="O9" i="1"/>
  <c r="L9" i="1"/>
  <c r="M9" i="1" s="1"/>
  <c r="N9" i="1" s="1"/>
  <c r="G9" i="1"/>
  <c r="K9" i="1" s="1"/>
  <c r="AD8" i="1"/>
  <c r="AC8" i="1"/>
  <c r="W8" i="1"/>
  <c r="Z8" i="1" s="1"/>
  <c r="V8" i="1"/>
  <c r="AA8" i="1" s="1"/>
  <c r="U8" i="1"/>
  <c r="S8" i="1"/>
  <c r="X8" i="1" s="1"/>
  <c r="R8" i="1"/>
  <c r="Q8" i="1"/>
  <c r="O8" i="1"/>
  <c r="L8" i="1"/>
  <c r="M8" i="1" s="1"/>
  <c r="N8" i="1" s="1"/>
  <c r="P8" i="1" s="1"/>
  <c r="AB8" i="1" s="1"/>
  <c r="G8" i="1"/>
  <c r="I8" i="1" s="1"/>
  <c r="AD7" i="1"/>
  <c r="AC7" i="1"/>
  <c r="W7" i="1"/>
  <c r="Z7" i="1" s="1"/>
  <c r="V7" i="1"/>
  <c r="AA7" i="1" s="1"/>
  <c r="U7" i="1"/>
  <c r="S7" i="1"/>
  <c r="X7" i="1" s="1"/>
  <c r="R7" i="1"/>
  <c r="Q7" i="1"/>
  <c r="O7" i="1"/>
  <c r="L7" i="1"/>
  <c r="M7" i="1" s="1"/>
  <c r="N7" i="1" s="1"/>
  <c r="P7" i="1" s="1"/>
  <c r="AB7" i="1" s="1"/>
  <c r="G7" i="1"/>
  <c r="K7" i="1" s="1"/>
  <c r="AD6" i="1"/>
  <c r="AC6" i="1"/>
  <c r="W6" i="1"/>
  <c r="Z6" i="1" s="1"/>
  <c r="V6" i="1"/>
  <c r="AA6" i="1" s="1"/>
  <c r="U6" i="1"/>
  <c r="S6" i="1"/>
  <c r="T6" i="1" s="1"/>
  <c r="R6" i="1"/>
  <c r="Q6" i="1"/>
  <c r="O6" i="1"/>
  <c r="L6" i="1"/>
  <c r="M6" i="1" s="1"/>
  <c r="N6" i="1" s="1"/>
  <c r="P6" i="1" s="1"/>
  <c r="AB6" i="1" s="1"/>
  <c r="G6" i="1"/>
  <c r="K6" i="1" s="1"/>
  <c r="AD5" i="1"/>
  <c r="AC5" i="1"/>
  <c r="W5" i="1"/>
  <c r="Z5" i="1" s="1"/>
  <c r="V5" i="1"/>
  <c r="AA5" i="1" s="1"/>
  <c r="U5" i="1"/>
  <c r="S5" i="1"/>
  <c r="X5" i="1" s="1"/>
  <c r="R5" i="1"/>
  <c r="Q5" i="1"/>
  <c r="O5" i="1"/>
  <c r="L5" i="1"/>
  <c r="M5" i="1" s="1"/>
  <c r="N5" i="1" s="1"/>
  <c r="P5" i="1" s="1"/>
  <c r="AB5" i="1" s="1"/>
  <c r="G5" i="1"/>
  <c r="K5" i="1" s="1"/>
  <c r="AD4" i="1"/>
  <c r="AC4" i="1"/>
  <c r="W4" i="1"/>
  <c r="Z4" i="1" s="1"/>
  <c r="V4" i="1"/>
  <c r="AA4" i="1" s="1"/>
  <c r="U4" i="1"/>
  <c r="S4" i="1"/>
  <c r="R4" i="1"/>
  <c r="Q4" i="1"/>
  <c r="O4" i="1"/>
  <c r="L4" i="1"/>
  <c r="M4" i="1" s="1"/>
  <c r="N4" i="1" s="1"/>
  <c r="G4" i="1"/>
  <c r="H4" i="1" s="1"/>
  <c r="AD3" i="1"/>
  <c r="AC3" i="1"/>
  <c r="W3" i="1"/>
  <c r="Z3" i="1" s="1"/>
  <c r="V3" i="1"/>
  <c r="AA3" i="1" s="1"/>
  <c r="U3" i="1"/>
  <c r="S3" i="1"/>
  <c r="X3" i="1" s="1"/>
  <c r="R3" i="1"/>
  <c r="Q3" i="1"/>
  <c r="O3" i="1"/>
  <c r="L3" i="1"/>
  <c r="M3" i="1" s="1"/>
  <c r="N3" i="1" s="1"/>
  <c r="P3" i="1" s="1"/>
  <c r="AB3" i="1" s="1"/>
  <c r="G3" i="1"/>
  <c r="I3" i="1" s="1"/>
  <c r="AD2" i="1"/>
  <c r="AC2" i="1"/>
  <c r="W2" i="1"/>
  <c r="Z2" i="1" s="1"/>
  <c r="V2" i="1"/>
  <c r="AA2" i="1" s="1"/>
  <c r="U2" i="1"/>
  <c r="S2" i="1"/>
  <c r="T2" i="1" s="1"/>
  <c r="R2" i="1"/>
  <c r="Q2" i="1"/>
  <c r="O2" i="1"/>
  <c r="L2" i="1"/>
  <c r="M2" i="1" s="1"/>
  <c r="N2" i="1" s="1"/>
  <c r="P2" i="1" s="1"/>
  <c r="AB2" i="1" s="1"/>
  <c r="G2" i="1"/>
  <c r="H2" i="1" s="1"/>
  <c r="C2" i="1"/>
  <c r="B2" i="1"/>
  <c r="I17" i="1" l="1"/>
  <c r="X22" i="1"/>
  <c r="AD27" i="1"/>
  <c r="I19" i="1"/>
  <c r="P4" i="1"/>
  <c r="AB4" i="1" s="1"/>
  <c r="P22" i="1"/>
  <c r="AB22" i="1" s="1"/>
  <c r="P34" i="1"/>
  <c r="AB34" i="1" s="1"/>
  <c r="H3" i="1"/>
  <c r="K3" i="1"/>
  <c r="T30" i="1"/>
  <c r="K11" i="1"/>
  <c r="P31" i="1"/>
  <c r="AB31" i="1" s="1"/>
  <c r="H11" i="1"/>
  <c r="T5" i="1"/>
  <c r="T25" i="1"/>
  <c r="X28" i="1"/>
  <c r="H29" i="1"/>
  <c r="P9" i="1"/>
  <c r="AB9" i="1" s="1"/>
  <c r="I29" i="1"/>
  <c r="T31" i="1"/>
  <c r="P11" i="1"/>
  <c r="AB11" i="1" s="1"/>
  <c r="X15" i="1"/>
  <c r="K33" i="1"/>
  <c r="T36" i="1"/>
  <c r="S16" i="1"/>
  <c r="X16" i="1" s="1"/>
  <c r="U16" i="1"/>
  <c r="X9" i="1"/>
  <c r="I37" i="1"/>
  <c r="P37" i="1"/>
  <c r="AB37" i="1" s="1"/>
  <c r="X35" i="1"/>
  <c r="O16" i="1"/>
  <c r="X38" i="1"/>
  <c r="H24" i="1"/>
  <c r="X6" i="1"/>
  <c r="I24" i="1"/>
  <c r="X14" i="1"/>
  <c r="AC16" i="1"/>
  <c r="G16" i="1"/>
  <c r="I4" i="1"/>
  <c r="W16" i="1"/>
  <c r="Z16" i="1" s="1"/>
  <c r="T34" i="1"/>
  <c r="K37" i="1"/>
  <c r="X2" i="1"/>
  <c r="V27" i="1"/>
  <c r="AA27" i="1" s="1"/>
  <c r="I35" i="1"/>
  <c r="T18" i="1"/>
  <c r="AD16" i="1"/>
  <c r="X19" i="1"/>
  <c r="W27" i="1"/>
  <c r="Z27" i="1" s="1"/>
  <c r="L16" i="1"/>
  <c r="M16" i="1" s="1"/>
  <c r="N16" i="1" s="1"/>
  <c r="K4" i="1"/>
  <c r="T12" i="1"/>
  <c r="I30" i="1"/>
  <c r="K17" i="1"/>
  <c r="AC27" i="1"/>
  <c r="T37" i="1"/>
  <c r="H32" i="1"/>
  <c r="I32" i="1"/>
  <c r="H22" i="1"/>
  <c r="I9" i="1"/>
  <c r="I22" i="1"/>
  <c r="X13" i="1"/>
  <c r="X26" i="1"/>
  <c r="K28" i="1"/>
  <c r="H31" i="1"/>
  <c r="K2" i="1"/>
  <c r="H18" i="1"/>
  <c r="I31" i="1"/>
  <c r="T32" i="1"/>
  <c r="I5" i="1"/>
  <c r="K8" i="1"/>
  <c r="K21" i="1"/>
  <c r="H19" i="1"/>
  <c r="X4" i="1"/>
  <c r="T10" i="1"/>
  <c r="I12" i="1"/>
  <c r="X20" i="1"/>
  <c r="I15" i="1"/>
  <c r="X23" i="1"/>
  <c r="T3" i="1"/>
  <c r="K14" i="1"/>
  <c r="T17" i="1"/>
  <c r="H6" i="1"/>
  <c r="T7" i="1"/>
  <c r="H9" i="1"/>
  <c r="T39" i="1"/>
  <c r="I25" i="1"/>
  <c r="H28" i="1"/>
  <c r="T29" i="1"/>
  <c r="I2" i="1"/>
  <c r="H14" i="1"/>
  <c r="H30" i="1"/>
  <c r="T4" i="1"/>
  <c r="I6" i="1"/>
  <c r="K19" i="1"/>
  <c r="X17" i="1"/>
  <c r="K35" i="1"/>
  <c r="X33" i="1"/>
  <c r="K38" i="1"/>
  <c r="K12" i="1"/>
  <c r="G27" i="1"/>
  <c r="L27" i="1"/>
  <c r="M27" i="1" s="1"/>
  <c r="N27" i="1" s="1"/>
  <c r="H36" i="1"/>
  <c r="H25" i="1"/>
  <c r="I38" i="1"/>
  <c r="K15" i="1"/>
  <c r="H7" i="1"/>
  <c r="H20" i="1"/>
  <c r="I33" i="1"/>
  <c r="I7" i="1"/>
  <c r="T8" i="1"/>
  <c r="I20" i="1"/>
  <c r="T21" i="1"/>
  <c r="O27" i="1"/>
  <c r="H10" i="1"/>
  <c r="I36" i="1"/>
  <c r="H39" i="1"/>
  <c r="H26" i="1"/>
  <c r="I39" i="1"/>
  <c r="H23" i="1"/>
  <c r="I10" i="1"/>
  <c r="T11" i="1"/>
  <c r="I23" i="1"/>
  <c r="T24" i="1"/>
  <c r="H13" i="1"/>
  <c r="I26" i="1"/>
  <c r="I13" i="1"/>
  <c r="S27" i="1"/>
  <c r="H35" i="1"/>
  <c r="H34" i="1"/>
  <c r="H21" i="1"/>
  <c r="I34" i="1"/>
  <c r="H5" i="1"/>
  <c r="I18" i="1"/>
  <c r="H8" i="1"/>
  <c r="T16" i="1" l="1"/>
  <c r="I16" i="1"/>
  <c r="H16" i="1"/>
  <c r="K16" i="1"/>
  <c r="P16" i="1"/>
  <c r="AB16" i="1" s="1"/>
  <c r="P27" i="1"/>
  <c r="AB27" i="1" s="1"/>
  <c r="K27" i="1"/>
  <c r="I27" i="1"/>
  <c r="H27" i="1"/>
  <c r="T27" i="1"/>
  <c r="X27" i="1"/>
</calcChain>
</file>

<file path=xl/sharedStrings.xml><?xml version="1.0" encoding="utf-8"?>
<sst xmlns="http://schemas.openxmlformats.org/spreadsheetml/2006/main" count="106" uniqueCount="71">
  <si>
    <t>Object</t>
  </si>
  <si>
    <t>Mass (M☉) min</t>
  </si>
  <si>
    <t>Mass (M☉) max</t>
  </si>
  <si>
    <t>AVG. Mass (M☉)</t>
  </si>
  <si>
    <t>USED Mass (M☉)</t>
  </si>
  <si>
    <t>Radius (km)</t>
  </si>
  <si>
    <t>M/R</t>
  </si>
  <si>
    <t>1.476×(M/R) km</t>
  </si>
  <si>
    <t>(-c^2 + SQRT(c^4 + 4*α*g*c^2)) / (2*α)</t>
  </si>
  <si>
    <t>X+Y−Z Φ</t>
  </si>
  <si>
    <t>(X+Y−Z)*(M/R)</t>
  </si>
  <si>
    <t>Φtotal​=Φstruct​×Φrel​</t>
  </si>
  <si>
    <t>Pr My</t>
  </si>
  <si>
    <t>Co = M / R_ref (8.9 km)</t>
  </si>
  <si>
    <t>G4D = Pr − Co</t>
  </si>
  <si>
    <t>MIN G4D = Pr − Co</t>
  </si>
  <si>
    <t>MAX G4D = Pr − Co</t>
  </si>
  <si>
    <t>Surface gravity g (m/s²)</t>
  </si>
  <si>
    <t>R/g (s²)</t>
  </si>
  <si>
    <t>Vesc/c​​</t>
  </si>
  <si>
    <t>R / (3GM/c^2)</t>
  </si>
  <si>
    <t>Compactness (GR)</t>
  </si>
  <si>
    <t>log10(g)</t>
  </si>
  <si>
    <t>G4D Visibility</t>
  </si>
  <si>
    <t>GR Visibility</t>
  </si>
  <si>
    <t>R / (3GM/c^2) Visibility</t>
  </si>
  <si>
    <t>E=mc2</t>
  </si>
  <si>
    <t>E=GM^2/R</t>
  </si>
  <si>
    <t>TON 618</t>
  </si>
  <si>
    <t>Invisible</t>
  </si>
  <si>
    <t>Sagittarius A* (SMBH)</t>
  </si>
  <si>
    <t>NGC 6946-BH1 (post-collapse)</t>
  </si>
  <si>
    <t>Black Hole (10 M☉)</t>
  </si>
  <si>
    <t>M31-2014-DS1 (post-collapse)</t>
  </si>
  <si>
    <t>G3425 (Black Hole) M max</t>
  </si>
  <si>
    <t>G3425 (Black Hole) M min</t>
  </si>
  <si>
    <t>Post-merger HMNS (~3 M☉)</t>
  </si>
  <si>
    <t>Partial visible</t>
  </si>
  <si>
    <t>PSR J0952–0607 (Neutron Star)</t>
  </si>
  <si>
    <t>PSR J0740+6620</t>
  </si>
  <si>
    <t>RX J0720.4–3125</t>
  </si>
  <si>
    <t>PSR J0348+0432</t>
  </si>
  <si>
    <t>4U 1702–429</t>
  </si>
  <si>
    <t>PSR J1614–2230</t>
  </si>
  <si>
    <t>PSR B1957+20</t>
  </si>
  <si>
    <t>4U 1820–30</t>
  </si>
  <si>
    <t>XTE J1739−285</t>
  </si>
  <si>
    <t>PSR B1919+21</t>
  </si>
  <si>
    <t>Crab Pulsar (PSR B0531+21)</t>
  </si>
  <si>
    <t>RX J1856.5–3754</t>
  </si>
  <si>
    <t>Vela Pulsar (PSR B0833–45)</t>
  </si>
  <si>
    <t>Virgo Cluster</t>
  </si>
  <si>
    <t>visible</t>
  </si>
  <si>
    <t>M87 galaxy</t>
  </si>
  <si>
    <t>IC 1101</t>
  </si>
  <si>
    <t>HESS J1731–347</t>
  </si>
  <si>
    <t>25143 Itokawa</t>
  </si>
  <si>
    <t>Asteroid Bennu</t>
  </si>
  <si>
    <t>Moon</t>
  </si>
  <si>
    <t>White Dwarf (~1.2 M☉)</t>
  </si>
  <si>
    <t>Earth</t>
  </si>
  <si>
    <t>TMTS J0526B</t>
  </si>
  <si>
    <t>Jupiter</t>
  </si>
  <si>
    <t>Epsilon Indi B/C</t>
  </si>
  <si>
    <t>Sun</t>
  </si>
  <si>
    <t>300 M☉ Star</t>
  </si>
  <si>
    <t>Betelgeuse</t>
  </si>
  <si>
    <t>M31-2014-DS1 (pre-collapse)</t>
  </si>
  <si>
    <t>NGC 6946-BH1 (pre-collapse)</t>
  </si>
  <si>
    <t>Manual Visibility</t>
  </si>
  <si>
    <t>Φrel​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</si>
</sst>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1" fontId="3" fillId="0" borderId="6" xfId="0" applyNumberFormat="1" applyFont="1" applyBorder="1" applyAlignment="1">
      <alignment horizontal="center"/>
    </xf>
    <xf numFmtId="11" fontId="3" fillId="0" borderId="7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11" fontId="3" fillId="0" borderId="9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3" borderId="0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7" xfId="0" applyFont="1" applyBorder="1"/>
    <xf numFmtId="0" fontId="0" fillId="0" borderId="7" xfId="0" applyFont="1" applyBorder="1" applyAlignment="1">
      <alignment vertical="center" wrapText="1"/>
    </xf>
    <xf numFmtId="0" fontId="0" fillId="0" borderId="6" xfId="0" applyFont="1" applyBorder="1"/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0" xfId="0" applyFont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9" xfId="0" applyFont="1" applyBorder="1"/>
    <xf numFmtId="0" fontId="0" fillId="0" borderId="9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0" fillId="4" borderId="6" xfId="0" applyFont="1" applyFill="1" applyBorder="1"/>
    <xf numFmtId="0" fontId="0" fillId="4" borderId="12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1" fontId="3" fillId="4" borderId="6" xfId="0" applyNumberFormat="1" applyFont="1" applyFill="1" applyBorder="1" applyAlignment="1">
      <alignment horizontal="center"/>
    </xf>
    <xf numFmtId="0" fontId="0" fillId="4" borderId="7" xfId="0" applyFont="1" applyFill="1" applyBorder="1"/>
    <xf numFmtId="0" fontId="0" fillId="4" borderId="0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1" fontId="3" fillId="4" borderId="7" xfId="0" applyNumberFormat="1" applyFont="1" applyFill="1" applyBorder="1" applyAlignment="1">
      <alignment horizontal="center"/>
    </xf>
    <xf numFmtId="0" fontId="0" fillId="4" borderId="9" xfId="0" applyFont="1" applyFill="1" applyBorder="1"/>
    <xf numFmtId="0" fontId="0" fillId="4" borderId="10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11" fontId="3" fillId="4" borderId="9" xfId="0" applyNumberFormat="1" applyFont="1" applyFill="1" applyBorder="1" applyAlignment="1">
      <alignment horizontal="center"/>
    </xf>
    <xf numFmtId="0" fontId="6" fillId="4" borderId="7" xfId="0" applyFont="1" applyFill="1" applyBorder="1"/>
    <xf numFmtId="0" fontId="6" fillId="4" borderId="0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9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1" fontId="2" fillId="5" borderId="0" xfId="0" applyNumberFormat="1" applyFont="1" applyFill="1" applyBorder="1" applyAlignment="1">
      <alignment horizontal="center"/>
    </xf>
    <xf numFmtId="11" fontId="4" fillId="5" borderId="6" xfId="0" applyNumberFormat="1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1" fontId="4" fillId="5" borderId="7" xfId="0" applyNumberFormat="1" applyFont="1" applyFill="1" applyBorder="1" applyAlignment="1">
      <alignment horizontal="center"/>
    </xf>
    <xf numFmtId="11" fontId="3" fillId="5" borderId="6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left"/>
    </xf>
    <xf numFmtId="11" fontId="0" fillId="5" borderId="0" xfId="0" applyNumberFormat="1" applyFont="1" applyFill="1" applyBorder="1" applyAlignment="1">
      <alignment horizontal="center" vertical="center" wrapText="1"/>
    </xf>
    <xf numFmtId="11" fontId="4" fillId="5" borderId="0" xfId="0" applyNumberFormat="1" applyFont="1" applyFill="1" applyBorder="1" applyAlignment="1">
      <alignment horizontal="center"/>
    </xf>
    <xf numFmtId="11" fontId="3" fillId="5" borderId="7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0" fillId="5" borderId="0" xfId="0" applyFont="1" applyFill="1" applyBorder="1" applyAlignment="1">
      <alignment horizontal="center" vertical="center" wrapText="1"/>
    </xf>
    <xf numFmtId="0" fontId="2" fillId="5" borderId="7" xfId="0" applyFont="1" applyFill="1" applyBorder="1"/>
    <xf numFmtId="0" fontId="0" fillId="0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107950</xdr:rowOff>
    </xdr:to>
    <xdr:sp macro="" textlink="">
      <xdr:nvSpPr>
        <xdr:cNvPr id="2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107950</xdr:rowOff>
    </xdr:to>
    <xdr:sp macro="" textlink="">
      <xdr:nvSpPr>
        <xdr:cNvPr id="3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107949</xdr:rowOff>
    </xdr:to>
    <xdr:sp macro="" textlink="">
      <xdr:nvSpPr>
        <xdr:cNvPr id="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54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107949</xdr:rowOff>
    </xdr:to>
    <xdr:sp macro="" textlink="">
      <xdr:nvSpPr>
        <xdr:cNvPr id="5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54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107950</xdr:rowOff>
    </xdr:to>
    <xdr:sp macro="" textlink="">
      <xdr:nvSpPr>
        <xdr:cNvPr id="6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107950</xdr:rowOff>
    </xdr:to>
    <xdr:sp macro="" textlink="">
      <xdr:nvSpPr>
        <xdr:cNvPr id="7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107951</xdr:rowOff>
    </xdr:to>
    <xdr:sp macro="" textlink="">
      <xdr:nvSpPr>
        <xdr:cNvPr id="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130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107951</xdr:rowOff>
    </xdr:to>
    <xdr:sp macro="" textlink="">
      <xdr:nvSpPr>
        <xdr:cNvPr id="9" name="AutoShape 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130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304800</xdr:colOff>
      <xdr:row>21</xdr:row>
      <xdr:rowOff>115421</xdr:rowOff>
    </xdr:to>
    <xdr:sp macro="" textlink="">
      <xdr:nvSpPr>
        <xdr:cNvPr id="10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9052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115421</xdr:rowOff>
    </xdr:to>
    <xdr:sp macro="" textlink="">
      <xdr:nvSpPr>
        <xdr:cNvPr id="11" name="AutoShape 1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9052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304800</xdr:colOff>
      <xdr:row>19</xdr:row>
      <xdr:rowOff>107950</xdr:rowOff>
    </xdr:to>
    <xdr:sp macro="" textlink="">
      <xdr:nvSpPr>
        <xdr:cNvPr id="1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107950</xdr:rowOff>
    </xdr:to>
    <xdr:sp macro="" textlink="">
      <xdr:nvSpPr>
        <xdr:cNvPr id="13" name="AutoShape 1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20</xdr:row>
      <xdr:rowOff>115421</xdr:rowOff>
    </xdr:to>
    <xdr:sp macro="" textlink="">
      <xdr:nvSpPr>
        <xdr:cNvPr id="14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115421</xdr:rowOff>
    </xdr:to>
    <xdr:sp macro="" textlink="">
      <xdr:nvSpPr>
        <xdr:cNvPr id="15" name="AutoShape 1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25</xdr:row>
      <xdr:rowOff>109070</xdr:rowOff>
    </xdr:to>
    <xdr:sp macro="" textlink="">
      <xdr:nvSpPr>
        <xdr:cNvPr id="1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25</xdr:row>
      <xdr:rowOff>109070</xdr:rowOff>
    </xdr:to>
    <xdr:sp macro="" textlink="">
      <xdr:nvSpPr>
        <xdr:cNvPr id="17" name="AutoShape 1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12</xdr:row>
      <xdr:rowOff>107950</xdr:rowOff>
    </xdr:to>
    <xdr:sp macro="" textlink="">
      <xdr:nvSpPr>
        <xdr:cNvPr id="18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107950</xdr:rowOff>
    </xdr:to>
    <xdr:sp macro="" textlink="">
      <xdr:nvSpPr>
        <xdr:cNvPr id="19" name="AutoShape 1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304800</xdr:colOff>
      <xdr:row>26</xdr:row>
      <xdr:rowOff>115421</xdr:rowOff>
    </xdr:to>
    <xdr:sp macro="" textlink="">
      <xdr:nvSpPr>
        <xdr:cNvPr id="20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304800</xdr:colOff>
      <xdr:row>26</xdr:row>
      <xdr:rowOff>115421</xdr:rowOff>
    </xdr:to>
    <xdr:sp macro="" textlink="">
      <xdr:nvSpPr>
        <xdr:cNvPr id="21" name="AutoShape 2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2799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22" name="AutoShape 2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654050</xdr:colOff>
      <xdr:row>20</xdr:row>
      <xdr:rowOff>107949</xdr:rowOff>
    </xdr:to>
    <xdr:sp macro="" textlink="">
      <xdr:nvSpPr>
        <xdr:cNvPr id="23" name="AutoShape 2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24" name="AutoShape 2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654050</xdr:colOff>
      <xdr:row>20</xdr:row>
      <xdr:rowOff>107949</xdr:rowOff>
    </xdr:to>
    <xdr:sp macro="" textlink="">
      <xdr:nvSpPr>
        <xdr:cNvPr id="25" name="AutoShape 2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26" name="AutoShape 2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654050</xdr:colOff>
      <xdr:row>20</xdr:row>
      <xdr:rowOff>107949</xdr:rowOff>
    </xdr:to>
    <xdr:sp macro="" textlink="">
      <xdr:nvSpPr>
        <xdr:cNvPr id="27" name="AutoShape 2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28" name="AutoShape 2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29" name="AutoShape 2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0" name="AutoShape 2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1" name="AutoShape 3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2" name="AutoShape 3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3" name="AutoShape 3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4" name="AutoShape 3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5" name="AutoShape 3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6" name="AutoShape 3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7" name="AutoShape 3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8" name="AutoShape 3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3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0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41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42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4800"/>
    <xdr:sp macro="" textlink="">
      <xdr:nvSpPr>
        <xdr:cNvPr id="43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44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47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49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9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0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1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2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53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4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5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bor/Downloads/G4D_Final_Table_with_Boundarie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"/>
      <sheetName val="Mass Min"/>
      <sheetName val="Mass Max"/>
      <sheetName val="FOR_BOOK"/>
    </sheetNames>
    <sheetDataSet>
      <sheetData sheetId="0"/>
      <sheetData sheetId="1">
        <row r="1">
          <cell r="M1" t="str">
            <v>G4D = Pr − Co</v>
          </cell>
        </row>
        <row r="3">
          <cell r="M3">
            <v>-457303.37078651681</v>
          </cell>
        </row>
        <row r="4">
          <cell r="M4">
            <v>-2.4719101123595504</v>
          </cell>
        </row>
        <row r="5">
          <cell r="M5">
            <v>-0.898876404494382</v>
          </cell>
        </row>
        <row r="6">
          <cell r="M6">
            <v>-0.56179775280898869</v>
          </cell>
        </row>
        <row r="7">
          <cell r="M7">
            <v>-0.4044943820224719</v>
          </cell>
        </row>
        <row r="8">
          <cell r="M8">
            <v>-0.32584269662921345</v>
          </cell>
        </row>
        <row r="9">
          <cell r="M9">
            <v>-0.19071928462450083</v>
          </cell>
        </row>
        <row r="10">
          <cell r="M10">
            <v>-0.18245258261691905</v>
          </cell>
        </row>
        <row r="11">
          <cell r="M11">
            <v>-0.1533282264938699</v>
          </cell>
        </row>
        <row r="13">
          <cell r="M13">
            <v>-0.11847199166831746</v>
          </cell>
        </row>
        <row r="14">
          <cell r="M14">
            <v>-0.14065256834462639</v>
          </cell>
        </row>
        <row r="15">
          <cell r="M15">
            <v>-0.10809749381476058</v>
          </cell>
        </row>
        <row r="16">
          <cell r="M16">
            <v>-0.12900911721467864</v>
          </cell>
        </row>
        <row r="17">
          <cell r="M17">
            <v>-0.11800610532843836</v>
          </cell>
        </row>
        <row r="18">
          <cell r="M18">
            <v>-0.11024579211031059</v>
          </cell>
        </row>
        <row r="19">
          <cell r="M19">
            <v>-6.6734170749291472E-2</v>
          </cell>
        </row>
        <row r="20">
          <cell r="M20">
            <v>-6.5663002904272502E-2</v>
          </cell>
        </row>
        <row r="21">
          <cell r="M21">
            <v>-6.2292216387418567E-2</v>
          </cell>
        </row>
        <row r="22">
          <cell r="M22">
            <v>-5.3251024681875772E-2</v>
          </cell>
        </row>
        <row r="23">
          <cell r="M23">
            <v>-3.4202328746969116E-2</v>
          </cell>
        </row>
        <row r="24">
          <cell r="M24">
            <v>2.9528049109661503E-2</v>
          </cell>
        </row>
        <row r="25">
          <cell r="M25">
            <v>2.7528089887640449E-2</v>
          </cell>
        </row>
        <row r="26">
          <cell r="M26">
            <v>195.16853930940746</v>
          </cell>
        </row>
        <row r="27">
          <cell r="M27">
            <v>353.61856143075101</v>
          </cell>
        </row>
        <row r="28">
          <cell r="M28">
            <v>715.8426952966272</v>
          </cell>
        </row>
        <row r="29">
          <cell r="M29">
            <v>4044.8191368992289</v>
          </cell>
        </row>
        <row r="30">
          <cell r="M30">
            <v>5498.6176501156515</v>
          </cell>
        </row>
        <row r="31">
          <cell r="M31">
            <v>5505.5940247234903</v>
          </cell>
        </row>
        <row r="32">
          <cell r="M32">
            <v>75110.400538673377</v>
          </cell>
        </row>
        <row r="33">
          <cell r="M33">
            <v>1572930.3144640187</v>
          </cell>
        </row>
        <row r="34">
          <cell r="M34">
            <v>47191005.376995653</v>
          </cell>
        </row>
        <row r="35">
          <cell r="M35">
            <v>78651678.500365004</v>
          </cell>
        </row>
        <row r="36">
          <cell r="M36">
            <v>149438193.63107428</v>
          </cell>
        </row>
      </sheetData>
      <sheetData sheetId="2">
        <row r="1">
          <cell r="M1" t="str">
            <v>G4D = Pr − Co</v>
          </cell>
        </row>
        <row r="3">
          <cell r="M3">
            <v>-464044.94382022473</v>
          </cell>
        </row>
        <row r="4">
          <cell r="M4">
            <v>-2.9213483146067416</v>
          </cell>
        </row>
        <row r="5">
          <cell r="M5">
            <v>-1.348314606741573</v>
          </cell>
        </row>
        <row r="6">
          <cell r="M6">
            <v>-0.898876404494382</v>
          </cell>
        </row>
        <row r="7">
          <cell r="M7">
            <v>-0.4044943820224719</v>
          </cell>
        </row>
        <row r="8">
          <cell r="M8">
            <v>-0.32584269662921345</v>
          </cell>
        </row>
        <row r="9">
          <cell r="M9">
            <v>-0.26349085418667428</v>
          </cell>
        </row>
        <row r="10">
          <cell r="M10">
            <v>-0.23193724991919701</v>
          </cell>
        </row>
        <row r="11">
          <cell r="M11">
            <v>-0.1737042659712785</v>
          </cell>
        </row>
        <row r="13">
          <cell r="M13">
            <v>-0.17668924731805624</v>
          </cell>
        </row>
        <row r="14">
          <cell r="M14">
            <v>-0.15229601947457413</v>
          </cell>
        </row>
        <row r="15">
          <cell r="M15">
            <v>-0.16631474946449937</v>
          </cell>
        </row>
        <row r="16">
          <cell r="M16">
            <v>-0.13337541138840903</v>
          </cell>
        </row>
        <row r="17">
          <cell r="M17">
            <v>-0.22570802828045514</v>
          </cell>
        </row>
        <row r="18">
          <cell r="M18">
            <v>-0.14954243967388425</v>
          </cell>
        </row>
        <row r="19">
          <cell r="M19">
            <v>-0.12495142639903024</v>
          </cell>
        </row>
        <row r="20">
          <cell r="M20">
            <v>-0.1238802585540113</v>
          </cell>
        </row>
        <row r="21">
          <cell r="M21">
            <v>-0.12050947203715737</v>
          </cell>
        </row>
        <row r="22">
          <cell r="M22">
            <v>-0.12602259424404921</v>
          </cell>
        </row>
        <row r="23">
          <cell r="M23">
            <v>-9.2419584396707916E-2</v>
          </cell>
        </row>
        <row r="24">
          <cell r="M24">
            <v>-1.4134892627642587E-2</v>
          </cell>
        </row>
        <row r="25">
          <cell r="M25">
            <v>2.7528089887640449E-2</v>
          </cell>
        </row>
        <row r="26">
          <cell r="M26">
            <v>195.16853930940746</v>
          </cell>
        </row>
        <row r="27">
          <cell r="M27">
            <v>353.61856143075101</v>
          </cell>
        </row>
        <row r="28">
          <cell r="M28">
            <v>715.8426952966272</v>
          </cell>
        </row>
        <row r="29">
          <cell r="M29">
            <v>4044.8191368992289</v>
          </cell>
        </row>
        <row r="30">
          <cell r="M30">
            <v>5498.6176501156515</v>
          </cell>
        </row>
        <row r="31">
          <cell r="M31">
            <v>5505.5940247234903</v>
          </cell>
        </row>
        <row r="32">
          <cell r="M32">
            <v>75110.400538673377</v>
          </cell>
        </row>
        <row r="33">
          <cell r="M33">
            <v>1572930.3144640187</v>
          </cell>
        </row>
        <row r="34">
          <cell r="M34">
            <v>47191005.376995653</v>
          </cell>
        </row>
        <row r="35">
          <cell r="M35">
            <v>78651678.500365004</v>
          </cell>
        </row>
        <row r="36">
          <cell r="M36">
            <v>149438193.63107428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tabSelected="1" workbookViewId="0">
      <selection activeCell="AO9" sqref="AO9"/>
    </sheetView>
  </sheetViews>
  <sheetFormatPr defaultRowHeight="14.5" x14ac:dyDescent="0.35"/>
  <cols>
    <col min="1" max="1" width="26.90625" bestFit="1" customWidth="1"/>
    <col min="2" max="2" width="14.453125" hidden="1" customWidth="1"/>
    <col min="3" max="3" width="14.81640625" hidden="1" customWidth="1"/>
    <col min="4" max="4" width="15.453125" hidden="1" customWidth="1"/>
    <col min="5" max="5" width="15.7265625" bestFit="1" customWidth="1"/>
    <col min="6" max="6" width="11.81640625" bestFit="1" customWidth="1"/>
    <col min="7" max="7" width="11.81640625" hidden="1" customWidth="1"/>
    <col min="8" max="8" width="14.453125" hidden="1" customWidth="1"/>
    <col min="9" max="9" width="33.453125" hidden="1" customWidth="1"/>
    <col min="10" max="10" width="8" bestFit="1" customWidth="1"/>
    <col min="11" max="11" width="13.1796875" hidden="1" customWidth="1"/>
    <col min="12" max="12" width="12.453125" bestFit="1" customWidth="1"/>
    <col min="13" max="13" width="19" bestFit="1" customWidth="1"/>
    <col min="14" max="14" width="11.81640625" bestFit="1" customWidth="1"/>
    <col min="15" max="15" width="20.36328125" bestFit="1" customWidth="1"/>
    <col min="16" max="16" width="12.453125" bestFit="1" customWidth="1"/>
    <col min="17" max="17" width="16.26953125" hidden="1" customWidth="1"/>
    <col min="18" max="18" width="16.7265625" hidden="1" customWidth="1"/>
    <col min="19" max="19" width="20.26953125" hidden="1" customWidth="1"/>
    <col min="20" max="20" width="11.81640625" hidden="1" customWidth="1"/>
    <col min="21" max="21" width="0" hidden="1" customWidth="1"/>
    <col min="22" max="22" width="12.54296875" hidden="1" customWidth="1"/>
    <col min="23" max="23" width="16.1796875" hidden="1" customWidth="1"/>
    <col min="24" max="24" width="12.453125" hidden="1" customWidth="1"/>
    <col min="25" max="25" width="14.7265625" hidden="1" customWidth="1"/>
    <col min="26" max="26" width="18" hidden="1" customWidth="1"/>
    <col min="27" max="27" width="20.1796875" hidden="1" customWidth="1"/>
    <col min="28" max="28" width="18" bestFit="1" customWidth="1"/>
    <col min="29" max="29" width="8.36328125" hidden="1" customWidth="1"/>
    <col min="30" max="30" width="12.7265625" hidden="1" customWidth="1"/>
  </cols>
  <sheetData>
    <row r="1" spans="1:30" ht="15" thickBot="1" x14ac:dyDescent="0.4">
      <c r="A1" s="54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56" t="s">
        <v>5</v>
      </c>
      <c r="G1" s="57" t="s">
        <v>6</v>
      </c>
      <c r="H1" s="55" t="s">
        <v>7</v>
      </c>
      <c r="I1" s="55" t="s">
        <v>8</v>
      </c>
      <c r="J1" s="56" t="s">
        <v>9</v>
      </c>
      <c r="K1" s="55" t="s">
        <v>10</v>
      </c>
      <c r="L1" s="56" t="s">
        <v>70</v>
      </c>
      <c r="M1" s="55" t="s">
        <v>11</v>
      </c>
      <c r="N1" s="56" t="s">
        <v>12</v>
      </c>
      <c r="O1" s="56" t="s">
        <v>13</v>
      </c>
      <c r="P1" s="56" t="s">
        <v>14</v>
      </c>
      <c r="Q1" s="55" t="s">
        <v>15</v>
      </c>
      <c r="R1" s="56" t="s">
        <v>16</v>
      </c>
      <c r="S1" s="55" t="s">
        <v>17</v>
      </c>
      <c r="T1" s="56" t="s">
        <v>18</v>
      </c>
      <c r="U1" s="55" t="s">
        <v>19</v>
      </c>
      <c r="V1" s="56" t="s">
        <v>20</v>
      </c>
      <c r="W1" s="57" t="s">
        <v>21</v>
      </c>
      <c r="X1" s="58" t="s">
        <v>22</v>
      </c>
      <c r="Y1" s="56" t="s">
        <v>69</v>
      </c>
      <c r="Z1" s="56" t="s">
        <v>24</v>
      </c>
      <c r="AA1" s="56" t="s">
        <v>25</v>
      </c>
      <c r="AB1" s="56" t="s">
        <v>23</v>
      </c>
      <c r="AC1" s="59" t="s">
        <v>26</v>
      </c>
      <c r="AD1" s="60" t="s">
        <v>27</v>
      </c>
    </row>
    <row r="2" spans="1:30" x14ac:dyDescent="0.35">
      <c r="A2" s="107" t="s">
        <v>28</v>
      </c>
      <c r="B2" s="97">
        <f>D2</f>
        <v>66000000000</v>
      </c>
      <c r="C2" s="97">
        <f>D2</f>
        <v>66000000000</v>
      </c>
      <c r="D2" s="98">
        <v>66000000000</v>
      </c>
      <c r="E2" s="98">
        <v>66000000000</v>
      </c>
      <c r="F2" s="99">
        <v>190000000000</v>
      </c>
      <c r="G2" s="100">
        <f>E2/F2</f>
        <v>0.3473684210526316</v>
      </c>
      <c r="H2" s="100">
        <f>G2*1.476</f>
        <v>0.51271578947368424</v>
      </c>
      <c r="I2" s="101">
        <f>(-299792458^2 + SQRT(299792458^4 + 4*G2*S2*299792458^2)) / (2*G2)</f>
        <v>2.5873255145453866E+17</v>
      </c>
      <c r="J2" s="102">
        <v>0</v>
      </c>
      <c r="K2" s="103">
        <f>J2/G2</f>
        <v>0</v>
      </c>
      <c r="L2" s="102">
        <f t="shared" ref="L2:L39" si="0">IF(F2&gt;0, 1 - (2*0.000000000066743 * E2 * 1.98847E+30) / (F2 * 1000 * 299792458^2),0)</f>
        <v>-2.5896837981126186E-2</v>
      </c>
      <c r="M2" s="103">
        <f t="shared" ref="M2:M39" si="1">J2*L2</f>
        <v>0</v>
      </c>
      <c r="N2" s="102">
        <f t="shared" ref="N2:N39" si="2">M2*F2/8.9</f>
        <v>0</v>
      </c>
      <c r="O2" s="104">
        <f t="shared" ref="O2:O39" si="3">E2/8.9</f>
        <v>7415730337.0786514</v>
      </c>
      <c r="P2" s="104">
        <f t="shared" ref="P2:P39" si="4">N2-O2</f>
        <v>-7415730337.0786514</v>
      </c>
      <c r="Q2" s="100" t="str">
        <f>'[1]Mass Min'!M1</f>
        <v>G4D = Pr − Co</v>
      </c>
      <c r="R2" s="100" t="str">
        <f>'[1]Mass Max'!M1</f>
        <v>G4D = Pr − Co</v>
      </c>
      <c r="S2" s="100">
        <f t="shared" ref="S2:S39" si="5">0.000000000066743*(E2*1.98847E+30)/((F2*1000)^2)</f>
        <v>242.63949894349031</v>
      </c>
      <c r="T2" s="100">
        <f t="shared" ref="T2:T39" si="6">(F2*1000)/S2</f>
        <v>783054699780.14661</v>
      </c>
      <c r="U2" s="100">
        <f t="shared" ref="U2:U39" si="7">SQRT(2*0.000000000066743*(E2*1.98847E+30)/(F2*1000))/299792458</f>
        <v>1.0128656564328393</v>
      </c>
      <c r="V2" s="105">
        <f>F2/(3*1.476*E2)</f>
        <v>0.65013276395390218</v>
      </c>
      <c r="W2" s="100">
        <f t="shared" ref="W2:W39" si="8">(0.000000000066743*(E2*1.98847E+30))/(F2*1000*299792458^2)</f>
        <v>0.5129484189905632</v>
      </c>
      <c r="X2" s="100">
        <f>LOG10(S2)</f>
        <v>2.3849615004747884</v>
      </c>
      <c r="Y2" s="104" t="s">
        <v>29</v>
      </c>
      <c r="Z2" s="104" t="str">
        <f>IF(W2&lt;0.25,"Fully visible",
IF(W2&lt;0.3,"Partial visible",
IF(W2&lt;0.32,"Collapse boundary",
"Invisible (Black hole)")))</f>
        <v>Invisible (Black hole)</v>
      </c>
      <c r="AA2" s="104" t="str">
        <f>IF(V2&gt;2,"Fully visible",
IF(V2&gt;1,"Partial visible",
IF(ABS(V2-1)&lt;=0.05,"Collapse boundary",
IF(V2&gt;0.7,"Collapse transition",
"Invisible (Black hole)"))))</f>
        <v>Invisible (Black hole)</v>
      </c>
      <c r="AB2" s="104" t="str">
        <f>IF(P2&gt;0,"Fully visible",
IF(P2&gt;-0.26,"Partial visible",
IF(ABS(P2+0.3)&lt;=0.02,"Collapse boundary",
IF(P2&gt;-0.32,"Collapse transition",
"Invisible (Black hole)"))))</f>
        <v>Invisible (Black hole)</v>
      </c>
      <c r="AC2" s="106">
        <f>E2*1.788E+47</f>
        <v>1.18008E+58</v>
      </c>
      <c r="AD2" s="106">
        <f>0.000000000066743*(E2*1.98847E+30)^2/(F2*1000)</f>
        <v>6.0503163103805941E+57</v>
      </c>
    </row>
    <row r="3" spans="1:30" x14ac:dyDescent="0.35">
      <c r="A3" s="107" t="s">
        <v>30</v>
      </c>
      <c r="B3" s="108">
        <v>4070000</v>
      </c>
      <c r="C3" s="108">
        <v>4130000</v>
      </c>
      <c r="D3" s="109">
        <v>4100000</v>
      </c>
      <c r="E3" s="105">
        <v>4100000</v>
      </c>
      <c r="F3" s="99">
        <v>12000000</v>
      </c>
      <c r="G3" s="100">
        <f>E3/F3</f>
        <v>0.34166666666666667</v>
      </c>
      <c r="H3" s="100">
        <f>G3*1.476</f>
        <v>0.50429999999999997</v>
      </c>
      <c r="I3" s="101">
        <f>(-299792458^2 + SQRT(299792458^4 + 4*G3*S3*299792458^2)) / (2*G3)</f>
        <v>2.6305029621943267E+17</v>
      </c>
      <c r="J3" s="102">
        <v>0</v>
      </c>
      <c r="K3" s="103">
        <f>J3/G3</f>
        <v>0</v>
      </c>
      <c r="L3" s="102">
        <f t="shared" si="0"/>
        <v>-9.0576222061833356E-3</v>
      </c>
      <c r="M3" s="103">
        <f t="shared" si="1"/>
        <v>0</v>
      </c>
      <c r="N3" s="102">
        <f t="shared" si="2"/>
        <v>0</v>
      </c>
      <c r="O3" s="104">
        <f t="shared" si="3"/>
        <v>460674.15730337077</v>
      </c>
      <c r="P3" s="104">
        <f t="shared" si="4"/>
        <v>-460674.15730337077</v>
      </c>
      <c r="Q3" s="100">
        <f>'[1]Mass Min'!M3</f>
        <v>-457303.37078651681</v>
      </c>
      <c r="R3" s="100">
        <f>'[1]Mass Max'!M3</f>
        <v>-464044.94382022473</v>
      </c>
      <c r="S3" s="100">
        <f t="shared" si="5"/>
        <v>3778732.3483402776</v>
      </c>
      <c r="T3" s="100">
        <f t="shared" si="6"/>
        <v>3175.6681589980108</v>
      </c>
      <c r="U3" s="100">
        <f t="shared" si="7"/>
        <v>1.00451860222008</v>
      </c>
      <c r="V3" s="105">
        <f>F3/(3*1.476*E3)</f>
        <v>0.6609822195782934</v>
      </c>
      <c r="W3" s="100">
        <f t="shared" si="8"/>
        <v>0.50452881110309167</v>
      </c>
      <c r="X3" s="100">
        <f>LOG10(S3)</f>
        <v>6.577346131463063</v>
      </c>
      <c r="Y3" s="104" t="s">
        <v>29</v>
      </c>
      <c r="Z3" s="104" t="str">
        <f t="shared" ref="Z3:Z39" si="9">IF(W3&lt;0.25,"Fully visible",
IF(W3&lt;0.3,"Partial visible",
IF(W3&lt;0.32,"Collapse boundary",
"Invisible (Black hole)")))</f>
        <v>Invisible (Black hole)</v>
      </c>
      <c r="AA3" s="104" t="str">
        <f t="shared" ref="AA3:AA39" si="10">IF(V3&gt;2,"Fully visible",
IF(V3&gt;1,"Partial visible",
IF(ABS(V3-1)&lt;=0.05,"Collapse boundary",
IF(V3&gt;0.7,"Collapse transition",
"Invisible (Black hole)"))))</f>
        <v>Invisible (Black hole)</v>
      </c>
      <c r="AB3" s="104" t="str">
        <f t="shared" ref="AB3:AB39" si="11">IF(P3&gt;0,"Fully visible",
IF(P3&gt;-0.26,"Partial visible",
IF(ABS(P3+0.3)&lt;=0.02,"Collapse boundary",
IF(P3&gt;-0.32,"Collapse transition",
"Invisible (Black hole)"))))</f>
        <v>Invisible (Black hole)</v>
      </c>
      <c r="AC3" s="110">
        <f t="shared" ref="AC3:AC39" si="12">E3*1.788E+47</f>
        <v>7.3307999999999998E+53</v>
      </c>
      <c r="AD3" s="110">
        <f t="shared" ref="AD3:AD39" si="13">0.000000000066743*(E3*1.98847E+30)^2/(F3*1000)</f>
        <v>3.6968367890504619E+53</v>
      </c>
    </row>
    <row r="4" spans="1:30" x14ac:dyDescent="0.35">
      <c r="A4" s="111" t="s">
        <v>31</v>
      </c>
      <c r="B4" s="112">
        <v>22</v>
      </c>
      <c r="C4" s="112">
        <v>26</v>
      </c>
      <c r="D4" s="103">
        <v>24</v>
      </c>
      <c r="E4" s="102">
        <v>24</v>
      </c>
      <c r="F4" s="99">
        <v>70.8</v>
      </c>
      <c r="G4" s="100">
        <f>E4/F4</f>
        <v>0.33898305084745767</v>
      </c>
      <c r="H4" s="100">
        <f t="shared" ref="H4:H39" si="14">G4*1.476</f>
        <v>0.50033898305084756</v>
      </c>
      <c r="I4" s="100">
        <f t="shared" ref="I4:I39" si="15">(-299792458^2 + SQRT(299792458^4 + 4*G4*S4*299792458^2)) / (2*G4)</f>
        <v>2.6513341315844006E+17</v>
      </c>
      <c r="J4" s="102">
        <v>0</v>
      </c>
      <c r="K4" s="103">
        <f t="shared" ref="K4:K39" si="16">J4/G4</f>
        <v>0</v>
      </c>
      <c r="L4" s="102">
        <f t="shared" si="0"/>
        <v>-1.1319939209757379E-3</v>
      </c>
      <c r="M4" s="103">
        <f t="shared" si="1"/>
        <v>0</v>
      </c>
      <c r="N4" s="102">
        <f t="shared" si="2"/>
        <v>0</v>
      </c>
      <c r="O4" s="104">
        <f t="shared" si="3"/>
        <v>2.696629213483146</v>
      </c>
      <c r="P4" s="104">
        <f t="shared" si="4"/>
        <v>-2.696629213483146</v>
      </c>
      <c r="Q4" s="100">
        <f>'[1]Mass Min'!M4</f>
        <v>-2.4719101123595504</v>
      </c>
      <c r="R4" s="100">
        <f>'[1]Mass Max'!M4</f>
        <v>-2.9213483146067416</v>
      </c>
      <c r="S4" s="100">
        <f t="shared" si="5"/>
        <v>635432601790.6731</v>
      </c>
      <c r="T4" s="100">
        <f t="shared" si="6"/>
        <v>1.114201565995873E-7</v>
      </c>
      <c r="U4" s="100">
        <f t="shared" si="7"/>
        <v>1.0005658368748034</v>
      </c>
      <c r="V4" s="104">
        <f t="shared" ref="V4:V39" si="17">F4/(3*1.476*E4)</f>
        <v>0.66621499548328822</v>
      </c>
      <c r="W4" s="100">
        <f t="shared" si="8"/>
        <v>0.50056599696048787</v>
      </c>
      <c r="X4" s="100">
        <f t="shared" ref="X4:X39" si="18">LOG10(S4)</f>
        <v>11.803069493170645</v>
      </c>
      <c r="Y4" s="104" t="s">
        <v>29</v>
      </c>
      <c r="Z4" s="104" t="str">
        <f t="shared" si="9"/>
        <v>Invisible (Black hole)</v>
      </c>
      <c r="AA4" s="104" t="str">
        <f t="shared" si="10"/>
        <v>Invisible (Black hole)</v>
      </c>
      <c r="AB4" s="104" t="str">
        <f t="shared" si="11"/>
        <v>Invisible (Black hole)</v>
      </c>
      <c r="AC4" s="110">
        <f t="shared" si="12"/>
        <v>4.2911999999999999E+48</v>
      </c>
      <c r="AD4" s="110">
        <f t="shared" si="13"/>
        <v>2.1470049007280432E+48</v>
      </c>
    </row>
    <row r="5" spans="1:30" x14ac:dyDescent="0.35">
      <c r="A5" s="107" t="s">
        <v>32</v>
      </c>
      <c r="B5" s="112">
        <v>8</v>
      </c>
      <c r="C5" s="112">
        <v>12</v>
      </c>
      <c r="D5" s="100">
        <v>10</v>
      </c>
      <c r="E5" s="104">
        <v>10</v>
      </c>
      <c r="F5" s="99">
        <v>29.5</v>
      </c>
      <c r="G5" s="100">
        <f>E5/F5</f>
        <v>0.33898305084745761</v>
      </c>
      <c r="H5" s="100">
        <f t="shared" si="14"/>
        <v>0.50033898305084745</v>
      </c>
      <c r="I5" s="100">
        <f t="shared" si="15"/>
        <v>2.6513430275683363E+17</v>
      </c>
      <c r="J5" s="102">
        <v>0</v>
      </c>
      <c r="K5" s="103">
        <f t="shared" si="16"/>
        <v>0</v>
      </c>
      <c r="L5" s="102">
        <f t="shared" si="0"/>
        <v>-1.1319939209757379E-3</v>
      </c>
      <c r="M5" s="103">
        <f t="shared" si="1"/>
        <v>0</v>
      </c>
      <c r="N5" s="102">
        <f t="shared" si="2"/>
        <v>0</v>
      </c>
      <c r="O5" s="104">
        <f t="shared" si="3"/>
        <v>1.1235955056179774</v>
      </c>
      <c r="P5" s="104">
        <f t="shared" si="4"/>
        <v>-1.1235955056179774</v>
      </c>
      <c r="Q5" s="100">
        <f>'[1]Mass Min'!M5</f>
        <v>-0.898876404494382</v>
      </c>
      <c r="R5" s="100">
        <f>'[1]Mass Max'!M5</f>
        <v>-1.348314606741573</v>
      </c>
      <c r="S5" s="100">
        <f t="shared" si="5"/>
        <v>1525038244297.6155</v>
      </c>
      <c r="T5" s="100">
        <f t="shared" si="6"/>
        <v>1.9343777187428353E-8</v>
      </c>
      <c r="U5" s="100">
        <f t="shared" si="7"/>
        <v>1.0005658368748034</v>
      </c>
      <c r="V5" s="104">
        <f t="shared" si="17"/>
        <v>0.66621499548328811</v>
      </c>
      <c r="W5" s="100">
        <f t="shared" si="8"/>
        <v>0.50056599696048787</v>
      </c>
      <c r="X5" s="100">
        <f t="shared" si="18"/>
        <v>12.183280734882251</v>
      </c>
      <c r="Y5" s="104" t="s">
        <v>29</v>
      </c>
      <c r="Z5" s="104" t="str">
        <f t="shared" si="9"/>
        <v>Invisible (Black hole)</v>
      </c>
      <c r="AA5" s="104" t="str">
        <f t="shared" si="10"/>
        <v>Invisible (Black hole)</v>
      </c>
      <c r="AB5" s="104" t="str">
        <f t="shared" si="11"/>
        <v>Invisible (Black hole)</v>
      </c>
      <c r="AC5" s="110">
        <f t="shared" si="12"/>
        <v>1.7879999999999999E+48</v>
      </c>
      <c r="AD5" s="110">
        <f t="shared" si="13"/>
        <v>8.9458537530335159E+47</v>
      </c>
    </row>
    <row r="6" spans="1:30" x14ac:dyDescent="0.35">
      <c r="A6" s="113" t="s">
        <v>33</v>
      </c>
      <c r="B6" s="112">
        <v>5</v>
      </c>
      <c r="C6" s="112">
        <v>8</v>
      </c>
      <c r="D6" s="103">
        <v>6.5</v>
      </c>
      <c r="E6" s="102">
        <v>6.5</v>
      </c>
      <c r="F6" s="99">
        <v>19.2</v>
      </c>
      <c r="G6" s="100">
        <f>E6/F6</f>
        <v>0.33854166666666669</v>
      </c>
      <c r="H6" s="100">
        <f t="shared" si="14"/>
        <v>0.49968750000000001</v>
      </c>
      <c r="I6" s="100">
        <f t="shared" si="15"/>
        <v>2.6548079288221171E+17</v>
      </c>
      <c r="J6" s="102">
        <v>0</v>
      </c>
      <c r="K6" s="103">
        <f t="shared" si="16"/>
        <v>0</v>
      </c>
      <c r="L6" s="102">
        <f t="shared" si="0"/>
        <v>1.7156336277557305E-4</v>
      </c>
      <c r="M6" s="103">
        <f t="shared" si="1"/>
        <v>0</v>
      </c>
      <c r="N6" s="102">
        <f t="shared" si="2"/>
        <v>0</v>
      </c>
      <c r="O6" s="104">
        <f t="shared" si="3"/>
        <v>0.7303370786516854</v>
      </c>
      <c r="P6" s="104">
        <f t="shared" si="4"/>
        <v>-0.7303370786516854</v>
      </c>
      <c r="Q6" s="100">
        <f>'[1]Mass Min'!M6</f>
        <v>-0.56179775280898869</v>
      </c>
      <c r="R6" s="100">
        <f>'[1]Mass Max'!M6</f>
        <v>-0.898876404494382</v>
      </c>
      <c r="S6" s="100">
        <f t="shared" si="5"/>
        <v>2340106732489.6919</v>
      </c>
      <c r="T6" s="100">
        <f t="shared" si="6"/>
        <v>8.2047539684536912E-9</v>
      </c>
      <c r="U6" s="100">
        <f t="shared" si="7"/>
        <v>0.99991421463904806</v>
      </c>
      <c r="V6" s="104">
        <f t="shared" si="17"/>
        <v>0.6670835939128622</v>
      </c>
      <c r="W6" s="100">
        <f t="shared" si="8"/>
        <v>0.49991421831861221</v>
      </c>
      <c r="X6" s="100">
        <f t="shared" si="18"/>
        <v>12.369235666074333</v>
      </c>
      <c r="Y6" s="104" t="s">
        <v>29</v>
      </c>
      <c r="Z6" s="104" t="str">
        <f t="shared" si="9"/>
        <v>Invisible (Black hole)</v>
      </c>
      <c r="AA6" s="104" t="str">
        <f t="shared" si="10"/>
        <v>Invisible (Black hole)</v>
      </c>
      <c r="AB6" s="104" t="str">
        <f t="shared" si="11"/>
        <v>Invisible (Black hole)</v>
      </c>
      <c r="AC6" s="110">
        <f t="shared" si="12"/>
        <v>1.1622000000000001E+48</v>
      </c>
      <c r="AD6" s="110">
        <f t="shared" si="13"/>
        <v>5.8072335788735136E+47</v>
      </c>
    </row>
    <row r="7" spans="1:30" x14ac:dyDescent="0.35">
      <c r="A7" s="107" t="s">
        <v>34</v>
      </c>
      <c r="B7" s="100">
        <v>3.6</v>
      </c>
      <c r="C7" s="100">
        <v>3.6</v>
      </c>
      <c r="D7" s="100">
        <v>3.6</v>
      </c>
      <c r="E7" s="104">
        <v>3.6</v>
      </c>
      <c r="F7" s="99">
        <v>8.9</v>
      </c>
      <c r="G7" s="100">
        <f t="shared" ref="G7:G39" si="19">E7/F7</f>
        <v>0.4044943820224719</v>
      </c>
      <c r="H7" s="100">
        <f t="shared" si="14"/>
        <v>0.59703370786516852</v>
      </c>
      <c r="I7" s="100">
        <f t="shared" si="15"/>
        <v>2.2219828416177491E+17</v>
      </c>
      <c r="J7" s="102">
        <v>0</v>
      </c>
      <c r="K7" s="103">
        <f t="shared" si="16"/>
        <v>0</v>
      </c>
      <c r="L7" s="102">
        <f t="shared" si="0"/>
        <v>-0.19460918825177109</v>
      </c>
      <c r="M7" s="103">
        <f t="shared" si="1"/>
        <v>0</v>
      </c>
      <c r="N7" s="102">
        <f t="shared" si="2"/>
        <v>0</v>
      </c>
      <c r="O7" s="104">
        <f t="shared" si="3"/>
        <v>0.4044943820224719</v>
      </c>
      <c r="P7" s="104">
        <f t="shared" si="4"/>
        <v>-0.4044943820224719</v>
      </c>
      <c r="Q7" s="100">
        <f>'[1]Mass Min'!M7</f>
        <v>-0.4044943820224719</v>
      </c>
      <c r="R7" s="100">
        <f>'[1]Mass Max'!M7</f>
        <v>-0.4044943820224719</v>
      </c>
      <c r="S7" s="100">
        <f t="shared" si="5"/>
        <v>6031804463527.332</v>
      </c>
      <c r="T7" s="100">
        <f t="shared" si="6"/>
        <v>1.4755120219522797E-9</v>
      </c>
      <c r="U7" s="100">
        <f t="shared" si="7"/>
        <v>1.0929817877036063</v>
      </c>
      <c r="V7" s="104">
        <f t="shared" si="17"/>
        <v>0.55831576834286867</v>
      </c>
      <c r="W7" s="100">
        <f t="shared" si="8"/>
        <v>0.59730459412588555</v>
      </c>
      <c r="X7" s="100">
        <f t="shared" si="18"/>
        <v>12.780447254316039</v>
      </c>
      <c r="Y7" s="104" t="s">
        <v>29</v>
      </c>
      <c r="Z7" s="104" t="str">
        <f t="shared" si="9"/>
        <v>Invisible (Black hole)</v>
      </c>
      <c r="AA7" s="104" t="str">
        <f t="shared" si="10"/>
        <v>Invisible (Black hole)</v>
      </c>
      <c r="AB7" s="104" t="str">
        <f t="shared" si="11"/>
        <v>Invisible (Black hole)</v>
      </c>
      <c r="AC7" s="110">
        <f t="shared" si="12"/>
        <v>6.4367999999999998E+47</v>
      </c>
      <c r="AD7" s="110">
        <f t="shared" si="13"/>
        <v>3.8428975357974976E+47</v>
      </c>
    </row>
    <row r="8" spans="1:30" x14ac:dyDescent="0.35">
      <c r="A8" s="107" t="s">
        <v>35</v>
      </c>
      <c r="B8" s="100">
        <v>2.9</v>
      </c>
      <c r="C8" s="100">
        <v>2.9</v>
      </c>
      <c r="D8" s="100">
        <v>2.9</v>
      </c>
      <c r="E8" s="104">
        <v>2.9</v>
      </c>
      <c r="F8" s="99">
        <v>8.9</v>
      </c>
      <c r="G8" s="100">
        <f t="shared" si="19"/>
        <v>0.32584269662921345</v>
      </c>
      <c r="H8" s="100">
        <f t="shared" si="14"/>
        <v>0.48094382022471904</v>
      </c>
      <c r="I8" s="100">
        <f t="shared" si="15"/>
        <v>2.7582972406654352E+17</v>
      </c>
      <c r="J8" s="102">
        <v>0</v>
      </c>
      <c r="K8" s="103">
        <f t="shared" si="16"/>
        <v>0</v>
      </c>
      <c r="L8" s="102">
        <f t="shared" si="0"/>
        <v>3.7675931686073305E-2</v>
      </c>
      <c r="M8" s="103">
        <f t="shared" si="1"/>
        <v>0</v>
      </c>
      <c r="N8" s="102">
        <f t="shared" si="2"/>
        <v>0</v>
      </c>
      <c r="O8" s="104">
        <f t="shared" si="3"/>
        <v>0.32584269662921345</v>
      </c>
      <c r="P8" s="104">
        <f t="shared" si="4"/>
        <v>-0.32584269662921345</v>
      </c>
      <c r="Q8" s="100">
        <f>'[1]Mass Min'!M8</f>
        <v>-0.32584269662921345</v>
      </c>
      <c r="R8" s="100">
        <f>'[1]Mass Max'!M8</f>
        <v>-0.32584269662921345</v>
      </c>
      <c r="S8" s="100">
        <f t="shared" si="5"/>
        <v>4858953595619.2393</v>
      </c>
      <c r="T8" s="100">
        <f t="shared" si="6"/>
        <v>1.8316700962166233E-9</v>
      </c>
      <c r="U8" s="100">
        <f t="shared" si="7"/>
        <v>0.98098117633006943</v>
      </c>
      <c r="V8" s="104">
        <f t="shared" si="17"/>
        <v>0.69308164346011281</v>
      </c>
      <c r="W8" s="100">
        <f t="shared" si="8"/>
        <v>0.48116203415696335</v>
      </c>
      <c r="X8" s="100">
        <f t="shared" si="18"/>
        <v>12.686542751447709</v>
      </c>
      <c r="Y8" s="104" t="s">
        <v>29</v>
      </c>
      <c r="Z8" s="104" t="str">
        <f t="shared" si="9"/>
        <v>Invisible (Black hole)</v>
      </c>
      <c r="AA8" s="104" t="str">
        <f t="shared" si="10"/>
        <v>Invisible (Black hole)</v>
      </c>
      <c r="AB8" s="104" t="str">
        <f t="shared" si="11"/>
        <v>Invisible (Black hole)</v>
      </c>
      <c r="AC8" s="110">
        <f t="shared" si="12"/>
        <v>5.1852E+47</v>
      </c>
      <c r="AD8" s="110">
        <f t="shared" si="13"/>
        <v>2.4937321200661228E+47</v>
      </c>
    </row>
    <row r="9" spans="1:30" ht="15" thickBot="1" x14ac:dyDescent="0.4">
      <c r="A9" s="41" t="s">
        <v>36</v>
      </c>
      <c r="B9" s="42">
        <v>2.7</v>
      </c>
      <c r="C9" s="42">
        <v>3.2</v>
      </c>
      <c r="D9" s="43">
        <v>3</v>
      </c>
      <c r="E9" s="44">
        <v>3</v>
      </c>
      <c r="F9" s="6">
        <v>18</v>
      </c>
      <c r="G9" s="43">
        <f t="shared" si="19"/>
        <v>0.16666666666666666</v>
      </c>
      <c r="H9" s="43">
        <f t="shared" si="14"/>
        <v>0.246</v>
      </c>
      <c r="I9" s="43">
        <f t="shared" si="15"/>
        <v>5.392543360953385E+17</v>
      </c>
      <c r="J9" s="44">
        <v>0.1</v>
      </c>
      <c r="K9" s="43">
        <f t="shared" si="16"/>
        <v>0.60000000000000009</v>
      </c>
      <c r="L9" s="30">
        <f t="shared" si="0"/>
        <v>0.50777676965552021</v>
      </c>
      <c r="M9" s="31">
        <f t="shared" si="1"/>
        <v>5.0777676965552021E-2</v>
      </c>
      <c r="N9" s="30">
        <f t="shared" si="2"/>
        <v>0.10269642532358836</v>
      </c>
      <c r="O9" s="44">
        <f t="shared" si="3"/>
        <v>0.33707865168539325</v>
      </c>
      <c r="P9" s="44">
        <f t="shared" si="4"/>
        <v>-0.23438222636180489</v>
      </c>
      <c r="Q9" s="43">
        <f>'[1]Mass Min'!M9</f>
        <v>-0.19071928462450083</v>
      </c>
      <c r="R9" s="43">
        <f>'[1]Mass Max'!M9</f>
        <v>-0.26349085418667428</v>
      </c>
      <c r="S9" s="43">
        <f t="shared" si="5"/>
        <v>1228856048240.7405</v>
      </c>
      <c r="T9" s="43">
        <f t="shared" si="6"/>
        <v>1.4647769383378328E-8</v>
      </c>
      <c r="U9" s="43">
        <f t="shared" si="7"/>
        <v>0.70158622445461372</v>
      </c>
      <c r="V9" s="44">
        <f t="shared" si="17"/>
        <v>1.3550135501355014</v>
      </c>
      <c r="W9" s="43">
        <f t="shared" si="8"/>
        <v>0.24611161517223987</v>
      </c>
      <c r="X9" s="43">
        <f t="shared" si="18"/>
        <v>12.089501011351627</v>
      </c>
      <c r="Y9" s="44" t="s">
        <v>37</v>
      </c>
      <c r="Z9" s="2" t="str">
        <f t="shared" si="9"/>
        <v>Fully visible</v>
      </c>
      <c r="AA9" s="2" t="str">
        <f t="shared" si="10"/>
        <v>Partial visible</v>
      </c>
      <c r="AB9" s="44" t="str">
        <f t="shared" si="11"/>
        <v>Partial visible</v>
      </c>
      <c r="AC9" s="4">
        <f t="shared" si="12"/>
        <v>5.3639999999999998E+47</v>
      </c>
      <c r="AD9" s="4">
        <f t="shared" si="13"/>
        <v>1.3195134285724431E+47</v>
      </c>
    </row>
    <row r="10" spans="1:30" x14ac:dyDescent="0.35">
      <c r="A10" s="36" t="s">
        <v>38</v>
      </c>
      <c r="B10" s="8">
        <v>2.1800000000000002</v>
      </c>
      <c r="C10" s="8">
        <v>2.52</v>
      </c>
      <c r="D10" s="29">
        <v>2.35</v>
      </c>
      <c r="E10" s="114">
        <v>2.35</v>
      </c>
      <c r="F10" s="115">
        <v>12.244999999999999</v>
      </c>
      <c r="G10" s="10">
        <f t="shared" si="19"/>
        <v>0.19191506737443856</v>
      </c>
      <c r="H10" s="11">
        <f t="shared" si="14"/>
        <v>0.28326663944467129</v>
      </c>
      <c r="I10" s="11">
        <f t="shared" si="15"/>
        <v>4.6831089552058688E+17</v>
      </c>
      <c r="J10" s="9">
        <v>0.1</v>
      </c>
      <c r="K10" s="11">
        <f t="shared" si="16"/>
        <v>0.52106382978723409</v>
      </c>
      <c r="L10" s="13">
        <f t="shared" si="0"/>
        <v>0.43320967351105233</v>
      </c>
      <c r="M10" s="12">
        <f t="shared" si="1"/>
        <v>4.3320967351105237E-2</v>
      </c>
      <c r="N10" s="13">
        <f t="shared" si="2"/>
        <v>5.9602836540930744E-2</v>
      </c>
      <c r="O10" s="9">
        <f t="shared" si="3"/>
        <v>0.2640449438202247</v>
      </c>
      <c r="P10" s="14">
        <f t="shared" si="4"/>
        <v>-0.20444210727929396</v>
      </c>
      <c r="Q10" s="11">
        <f>'[1]Mass Min'!M10</f>
        <v>-0.18245258261691905</v>
      </c>
      <c r="R10" s="9">
        <f>'[1]Mass Max'!M10</f>
        <v>-0.23193724991919701</v>
      </c>
      <c r="S10" s="9">
        <f t="shared" si="5"/>
        <v>2080056109391.0713</v>
      </c>
      <c r="T10" s="9">
        <f t="shared" si="6"/>
        <v>5.8868604287721254E-9</v>
      </c>
      <c r="U10" s="15">
        <f t="shared" si="7"/>
        <v>0.75285478446307796</v>
      </c>
      <c r="V10" s="9">
        <f t="shared" si="17"/>
        <v>1.1767475830786676</v>
      </c>
      <c r="W10" s="16">
        <f t="shared" si="8"/>
        <v>0.28339516324447384</v>
      </c>
      <c r="X10" s="15">
        <f t="shared" si="18"/>
        <v>12.318075050188847</v>
      </c>
      <c r="Y10" s="9" t="s">
        <v>37</v>
      </c>
      <c r="Z10" s="38" t="str">
        <f t="shared" si="9"/>
        <v>Partial visible</v>
      </c>
      <c r="AA10" s="38" t="str">
        <f t="shared" si="10"/>
        <v>Partial visible</v>
      </c>
      <c r="AB10" s="9" t="str">
        <f t="shared" si="11"/>
        <v>Partial visible</v>
      </c>
      <c r="AC10" s="3">
        <f t="shared" si="12"/>
        <v>4.2017999999999999E+47</v>
      </c>
      <c r="AD10" s="3">
        <f t="shared" si="13"/>
        <v>1.1902021901659976E+47</v>
      </c>
    </row>
    <row r="11" spans="1:30" x14ac:dyDescent="0.35">
      <c r="A11" s="34" t="s">
        <v>39</v>
      </c>
      <c r="B11" s="5">
        <v>2.0099999999999998</v>
      </c>
      <c r="C11" s="5">
        <v>2.15</v>
      </c>
      <c r="D11" s="17">
        <v>2.08</v>
      </c>
      <c r="E11" s="6">
        <v>2.08</v>
      </c>
      <c r="F11" s="1">
        <v>12.39</v>
      </c>
      <c r="G11" s="18">
        <f t="shared" si="19"/>
        <v>0.1678773204196933</v>
      </c>
      <c r="H11" s="19">
        <f t="shared" si="14"/>
        <v>0.2477869249394673</v>
      </c>
      <c r="I11" s="19">
        <f t="shared" si="15"/>
        <v>5.3536606094370637E+17</v>
      </c>
      <c r="J11" s="20">
        <v>0.1</v>
      </c>
      <c r="K11" s="19">
        <f t="shared" si="16"/>
        <v>0.59567307692307692</v>
      </c>
      <c r="L11" s="22">
        <f t="shared" si="0"/>
        <v>0.50420129824865956</v>
      </c>
      <c r="M11" s="21">
        <f t="shared" si="1"/>
        <v>5.0420129824865961E-2</v>
      </c>
      <c r="N11" s="22">
        <f t="shared" si="2"/>
        <v>7.0191618935965081E-2</v>
      </c>
      <c r="O11" s="20">
        <f t="shared" si="3"/>
        <v>0.23370786516853934</v>
      </c>
      <c r="P11" s="23">
        <f t="shared" si="4"/>
        <v>-0.16351624623257427</v>
      </c>
      <c r="Q11" s="19">
        <f>'[1]Mass Min'!M11</f>
        <v>-0.1533282264938699</v>
      </c>
      <c r="R11" s="20">
        <f>'[1]Mass Max'!M11</f>
        <v>-0.1737042659712785</v>
      </c>
      <c r="S11" s="20">
        <f t="shared" si="5"/>
        <v>1798231036360.0005</v>
      </c>
      <c r="T11" s="20">
        <f t="shared" si="6"/>
        <v>6.8901046358759203E-9</v>
      </c>
      <c r="U11" s="24">
        <f t="shared" si="7"/>
        <v>0.70412974781026005</v>
      </c>
      <c r="V11" s="20">
        <f t="shared" si="17"/>
        <v>1.3452418178027934</v>
      </c>
      <c r="W11" s="25">
        <f t="shared" si="8"/>
        <v>0.24789935087567022</v>
      </c>
      <c r="X11" s="24">
        <f t="shared" si="18"/>
        <v>12.254845489049211</v>
      </c>
      <c r="Y11" s="20" t="s">
        <v>37</v>
      </c>
      <c r="Z11" s="2" t="str">
        <f t="shared" si="9"/>
        <v>Fully visible</v>
      </c>
      <c r="AA11" s="2" t="str">
        <f t="shared" si="10"/>
        <v>Partial visible</v>
      </c>
      <c r="AB11" s="20" t="str">
        <f t="shared" si="11"/>
        <v>Partial visible</v>
      </c>
      <c r="AC11" s="4">
        <f t="shared" si="12"/>
        <v>3.7190400000000003E+47</v>
      </c>
      <c r="AD11" s="4">
        <f t="shared" si="13"/>
        <v>9.2150813516962388E+46</v>
      </c>
    </row>
    <row r="12" spans="1:30" x14ac:dyDescent="0.35">
      <c r="A12" s="34" t="s">
        <v>40</v>
      </c>
      <c r="B12" s="5">
        <v>1.2</v>
      </c>
      <c r="C12" s="5">
        <v>1.6</v>
      </c>
      <c r="D12" s="17">
        <v>1.4</v>
      </c>
      <c r="E12" s="6">
        <v>1.4</v>
      </c>
      <c r="F12" s="1">
        <v>5</v>
      </c>
      <c r="G12" s="18">
        <f t="shared" si="19"/>
        <v>0.27999999999999997</v>
      </c>
      <c r="H12" s="19">
        <f t="shared" si="14"/>
        <v>0.41327999999999993</v>
      </c>
      <c r="I12" s="19">
        <f t="shared" si="15"/>
        <v>3.2099142435530938E+17</v>
      </c>
      <c r="J12" s="20">
        <v>0.1</v>
      </c>
      <c r="K12" s="19">
        <f t="shared" si="16"/>
        <v>0.35714285714285721</v>
      </c>
      <c r="L12" s="22">
        <f t="shared" si="0"/>
        <v>0.17306497302127399</v>
      </c>
      <c r="M12" s="21">
        <f t="shared" si="1"/>
        <v>1.73064973021274E-2</v>
      </c>
      <c r="N12" s="22">
        <f t="shared" si="2"/>
        <v>9.7227512933299991E-3</v>
      </c>
      <c r="O12" s="20">
        <f t="shared" si="3"/>
        <v>0.15730337078651685</v>
      </c>
      <c r="P12" s="23">
        <f t="shared" si="4"/>
        <v>-0.14758061949318685</v>
      </c>
      <c r="Q12" s="19">
        <f>'[1]Mass Min'!M13</f>
        <v>-0.11847199166831746</v>
      </c>
      <c r="R12" s="20">
        <f>'[1]Mass Max'!M13</f>
        <v>-0.17668924731805624</v>
      </c>
      <c r="S12" s="20">
        <f t="shared" si="5"/>
        <v>7432121379759.999</v>
      </c>
      <c r="T12" s="20">
        <f t="shared" si="6"/>
        <v>6.7275542802847257E-10</v>
      </c>
      <c r="U12" s="24">
        <f t="shared" si="7"/>
        <v>0.90935967965306552</v>
      </c>
      <c r="V12" s="20">
        <f t="shared" si="17"/>
        <v>0.80655568460446514</v>
      </c>
      <c r="W12" s="25">
        <f t="shared" si="8"/>
        <v>0.413467513489363</v>
      </c>
      <c r="X12" s="24">
        <f t="shared" si="18"/>
        <v>12.871112793844778</v>
      </c>
      <c r="Y12" s="20" t="s">
        <v>37</v>
      </c>
      <c r="Z12" s="2" t="str">
        <f t="shared" si="9"/>
        <v>Invisible (Black hole)</v>
      </c>
      <c r="AA12" s="2" t="str">
        <f t="shared" si="10"/>
        <v>Collapse transition</v>
      </c>
      <c r="AB12" s="20" t="str">
        <f t="shared" si="11"/>
        <v>Partial visible</v>
      </c>
      <c r="AC12" s="4">
        <f t="shared" si="12"/>
        <v>2.5032000000000001E+47</v>
      </c>
      <c r="AD12" s="4">
        <f t="shared" si="13"/>
        <v>1.0344985280007954E+47</v>
      </c>
    </row>
    <row r="13" spans="1:30" x14ac:dyDescent="0.35">
      <c r="A13" s="34" t="s">
        <v>41</v>
      </c>
      <c r="B13" s="5">
        <v>1.97</v>
      </c>
      <c r="C13" s="5">
        <v>2.0499999999999998</v>
      </c>
      <c r="D13" s="17">
        <v>2.0099999999999998</v>
      </c>
      <c r="E13" s="6">
        <v>2.0099999999999998</v>
      </c>
      <c r="F13" s="1">
        <v>13</v>
      </c>
      <c r="G13" s="18">
        <f t="shared" si="19"/>
        <v>0.1546153846153846</v>
      </c>
      <c r="H13" s="19">
        <f t="shared" si="14"/>
        <v>0.22821230769230766</v>
      </c>
      <c r="I13" s="19">
        <f t="shared" si="15"/>
        <v>5.8128602241680794E+17</v>
      </c>
      <c r="J13" s="20">
        <v>0.1</v>
      </c>
      <c r="K13" s="19">
        <f t="shared" si="16"/>
        <v>0.64676616915422891</v>
      </c>
      <c r="L13" s="22">
        <f t="shared" si="0"/>
        <v>0.54336829554196731</v>
      </c>
      <c r="M13" s="21">
        <f t="shared" si="1"/>
        <v>5.4336829554196733E-2</v>
      </c>
      <c r="N13" s="22">
        <f t="shared" si="2"/>
        <v>7.9368402719613207E-2</v>
      </c>
      <c r="O13" s="20">
        <f t="shared" si="3"/>
        <v>0.22584269662921344</v>
      </c>
      <c r="P13" s="23">
        <f t="shared" si="4"/>
        <v>-0.14647429390960023</v>
      </c>
      <c r="Q13" s="19">
        <f>'[1]Mass Min'!M14</f>
        <v>-0.14065256834462639</v>
      </c>
      <c r="R13" s="20">
        <f>'[1]Mass Max'!M14</f>
        <v>-0.15229601947457413</v>
      </c>
      <c r="S13" s="20">
        <f t="shared" si="5"/>
        <v>1578461958296.4492</v>
      </c>
      <c r="T13" s="20">
        <f t="shared" si="6"/>
        <v>8.2358652558407018E-9</v>
      </c>
      <c r="U13" s="24">
        <f t="shared" si="7"/>
        <v>0.67574529555005614</v>
      </c>
      <c r="V13" s="20">
        <f t="shared" si="17"/>
        <v>1.4606282049553498</v>
      </c>
      <c r="W13" s="25">
        <f t="shared" si="8"/>
        <v>0.22831585222901635</v>
      </c>
      <c r="X13" s="24">
        <f t="shared" si="18"/>
        <v>12.198234119645393</v>
      </c>
      <c r="Y13" s="20" t="s">
        <v>37</v>
      </c>
      <c r="Z13" s="2" t="str">
        <f t="shared" si="9"/>
        <v>Fully visible</v>
      </c>
      <c r="AA13" s="2" t="str">
        <f t="shared" si="10"/>
        <v>Partial visible</v>
      </c>
      <c r="AB13" s="20" t="str">
        <f t="shared" si="11"/>
        <v>Partial visible</v>
      </c>
      <c r="AC13" s="4">
        <f t="shared" si="12"/>
        <v>3.5938799999999996E+47</v>
      </c>
      <c r="AD13" s="4">
        <f t="shared" si="13"/>
        <v>8.2014864658085023E+46</v>
      </c>
    </row>
    <row r="14" spans="1:30" x14ac:dyDescent="0.35">
      <c r="A14" s="34" t="s">
        <v>42</v>
      </c>
      <c r="B14" s="5">
        <v>1.7</v>
      </c>
      <c r="C14" s="5">
        <v>2.1</v>
      </c>
      <c r="D14" s="17">
        <v>1.9</v>
      </c>
      <c r="E14" s="6">
        <v>1.9</v>
      </c>
      <c r="F14" s="1">
        <v>12.4</v>
      </c>
      <c r="G14" s="18">
        <f t="shared" si="19"/>
        <v>0.15322580645161288</v>
      </c>
      <c r="H14" s="19">
        <f t="shared" si="14"/>
        <v>0.22616129032258062</v>
      </c>
      <c r="I14" s="19">
        <f t="shared" si="15"/>
        <v>5.8655765134812685E+17</v>
      </c>
      <c r="J14" s="20">
        <v>0.1</v>
      </c>
      <c r="K14" s="19">
        <f t="shared" si="16"/>
        <v>0.65263157894736856</v>
      </c>
      <c r="L14" s="22">
        <f t="shared" si="0"/>
        <v>0.54747219145749448</v>
      </c>
      <c r="M14" s="21">
        <f t="shared" si="1"/>
        <v>5.4747219145749454E-2</v>
      </c>
      <c r="N14" s="22">
        <f t="shared" si="2"/>
        <v>7.6277024427785764E-2</v>
      </c>
      <c r="O14" s="20">
        <f t="shared" si="3"/>
        <v>0.21348314606741572</v>
      </c>
      <c r="P14" s="23">
        <f t="shared" si="4"/>
        <v>-0.13720612163962997</v>
      </c>
      <c r="Q14" s="19">
        <f>'[1]Mass Min'!M15</f>
        <v>-0.10809749381476058</v>
      </c>
      <c r="R14" s="20">
        <f>'[1]Mass Max'!M15</f>
        <v>-0.16631474946449937</v>
      </c>
      <c r="S14" s="20">
        <f t="shared" si="5"/>
        <v>1639966578427.4192</v>
      </c>
      <c r="T14" s="20">
        <f t="shared" si="6"/>
        <v>7.5611296980762184E-9</v>
      </c>
      <c r="U14" s="24">
        <f t="shared" si="7"/>
        <v>0.67270187196298592</v>
      </c>
      <c r="V14" s="20">
        <f t="shared" si="17"/>
        <v>1.4738743878666858</v>
      </c>
      <c r="W14" s="25">
        <f t="shared" si="8"/>
        <v>0.22626390427125276</v>
      </c>
      <c r="X14" s="24">
        <f t="shared" si="18"/>
        <v>12.214834997466935</v>
      </c>
      <c r="Y14" s="20" t="s">
        <v>37</v>
      </c>
      <c r="Z14" s="2" t="str">
        <f t="shared" si="9"/>
        <v>Fully visible</v>
      </c>
      <c r="AA14" s="2" t="str">
        <f t="shared" si="10"/>
        <v>Partial visible</v>
      </c>
      <c r="AB14" s="20" t="str">
        <f t="shared" si="11"/>
        <v>Partial visible</v>
      </c>
      <c r="AC14" s="4">
        <f t="shared" si="12"/>
        <v>3.3971999999999998E+47</v>
      </c>
      <c r="AD14" s="4">
        <f t="shared" si="13"/>
        <v>7.6829733502363226E+46</v>
      </c>
    </row>
    <row r="15" spans="1:30" x14ac:dyDescent="0.35">
      <c r="A15" s="34" t="s">
        <v>43</v>
      </c>
      <c r="B15" s="5">
        <v>1.89</v>
      </c>
      <c r="C15" s="5">
        <v>1.92</v>
      </c>
      <c r="D15" s="17">
        <v>1.9079999999999999</v>
      </c>
      <c r="E15" s="6">
        <v>1.9079999999999999</v>
      </c>
      <c r="F15" s="1">
        <v>13</v>
      </c>
      <c r="G15" s="18">
        <f t="shared" si="19"/>
        <v>0.14676923076923076</v>
      </c>
      <c r="H15" s="19">
        <f t="shared" si="14"/>
        <v>0.21663138461538461</v>
      </c>
      <c r="I15" s="19">
        <f t="shared" si="15"/>
        <v>6.1236089686764774E+17</v>
      </c>
      <c r="J15" s="20">
        <v>0.1</v>
      </c>
      <c r="K15" s="19">
        <f t="shared" si="16"/>
        <v>0.68134171907756824</v>
      </c>
      <c r="L15" s="22">
        <f t="shared" si="0"/>
        <v>0.56654065069356896</v>
      </c>
      <c r="M15" s="21">
        <f t="shared" si="1"/>
        <v>5.6654065069356899E-2</v>
      </c>
      <c r="N15" s="22">
        <f t="shared" si="2"/>
        <v>8.2753128752993219E-2</v>
      </c>
      <c r="O15" s="20">
        <f t="shared" si="3"/>
        <v>0.2143820224719101</v>
      </c>
      <c r="P15" s="23">
        <f t="shared" si="4"/>
        <v>-0.1316288937189169</v>
      </c>
      <c r="Q15" s="19">
        <f>'[1]Mass Min'!M16</f>
        <v>-0.12900911721467864</v>
      </c>
      <c r="R15" s="20">
        <f>'[1]Mass Max'!M16</f>
        <v>-0.13337541138840903</v>
      </c>
      <c r="S15" s="20">
        <f t="shared" si="5"/>
        <v>1498360903696.3313</v>
      </c>
      <c r="T15" s="20">
        <f t="shared" si="6"/>
        <v>8.6761473607126863E-9</v>
      </c>
      <c r="U15" s="24">
        <f t="shared" si="7"/>
        <v>0.65837629764932382</v>
      </c>
      <c r="V15" s="20">
        <f t="shared" si="17"/>
        <v>1.5387121027045354</v>
      </c>
      <c r="W15" s="25">
        <f t="shared" si="8"/>
        <v>0.21672967465321555</v>
      </c>
      <c r="X15" s="24">
        <f t="shared" si="18"/>
        <v>12.17561643259298</v>
      </c>
      <c r="Y15" s="20" t="s">
        <v>37</v>
      </c>
      <c r="Z15" s="2" t="str">
        <f t="shared" si="9"/>
        <v>Fully visible</v>
      </c>
      <c r="AA15" s="2" t="str">
        <f t="shared" si="10"/>
        <v>Partial visible</v>
      </c>
      <c r="AB15" s="20" t="str">
        <f t="shared" si="11"/>
        <v>Partial visible</v>
      </c>
      <c r="AC15" s="4">
        <f t="shared" si="12"/>
        <v>3.4115040000000001E+47</v>
      </c>
      <c r="AD15" s="4">
        <f t="shared" si="13"/>
        <v>7.3902171295916179E+46</v>
      </c>
    </row>
    <row r="16" spans="1:30" x14ac:dyDescent="0.35">
      <c r="A16" s="34" t="s">
        <v>44</v>
      </c>
      <c r="B16" s="5">
        <v>1.66</v>
      </c>
      <c r="C16" s="5">
        <v>2.4</v>
      </c>
      <c r="D16" s="17">
        <f>(1.66+1.8)/2</f>
        <v>1.73</v>
      </c>
      <c r="E16" s="6">
        <f>(1.66+1.8)/2</f>
        <v>1.73</v>
      </c>
      <c r="F16" s="1">
        <v>11</v>
      </c>
      <c r="G16" s="18">
        <f t="shared" si="19"/>
        <v>0.15727272727272726</v>
      </c>
      <c r="H16" s="19">
        <f t="shared" si="14"/>
        <v>0.23213454545454543</v>
      </c>
      <c r="I16" s="19">
        <f t="shared" si="15"/>
        <v>5.7146472792062458E+17</v>
      </c>
      <c r="J16" s="20">
        <v>0.1</v>
      </c>
      <c r="K16" s="19">
        <f t="shared" si="16"/>
        <v>0.63583815028901747</v>
      </c>
      <c r="L16" s="22">
        <f t="shared" si="0"/>
        <v>0.53552026082039095</v>
      </c>
      <c r="M16" s="21">
        <f t="shared" si="1"/>
        <v>5.35520260820391E-2</v>
      </c>
      <c r="N16" s="22">
        <f t="shared" si="2"/>
        <v>6.6187897404767423E-2</v>
      </c>
      <c r="O16" s="20">
        <f t="shared" si="3"/>
        <v>0.19438202247191011</v>
      </c>
      <c r="P16" s="23">
        <f t="shared" si="4"/>
        <v>-0.12819412506714267</v>
      </c>
      <c r="Q16" s="19">
        <f>'[1]Mass Min'!M17</f>
        <v>-0.11800610532843836</v>
      </c>
      <c r="R16" s="20">
        <f>'[1]Mass Max'!M17</f>
        <v>-0.22570802828045514</v>
      </c>
      <c r="S16" s="20">
        <f t="shared" si="5"/>
        <v>1897516231845.4546</v>
      </c>
      <c r="T16" s="20">
        <f t="shared" si="6"/>
        <v>5.7970518593676555E-9</v>
      </c>
      <c r="U16" s="24">
        <f t="shared" si="7"/>
        <v>0.68152750434564935</v>
      </c>
      <c r="V16" s="20">
        <f t="shared" si="17"/>
        <v>1.4359488488911865</v>
      </c>
      <c r="W16" s="25">
        <f t="shared" si="8"/>
        <v>0.23223986958980455</v>
      </c>
      <c r="X16" s="24">
        <f t="shared" si="18"/>
        <v>12.278185499650922</v>
      </c>
      <c r="Y16" s="20" t="s">
        <v>37</v>
      </c>
      <c r="Z16" s="2" t="str">
        <f t="shared" si="9"/>
        <v>Fully visible</v>
      </c>
      <c r="AA16" s="2" t="str">
        <f t="shared" si="10"/>
        <v>Partial visible</v>
      </c>
      <c r="AB16" s="20" t="str">
        <f t="shared" si="11"/>
        <v>Partial visible</v>
      </c>
      <c r="AC16" s="4">
        <f t="shared" si="12"/>
        <v>3.09324E+47</v>
      </c>
      <c r="AD16" s="4">
        <f t="shared" si="13"/>
        <v>7.1803122552263013E+46</v>
      </c>
    </row>
    <row r="17" spans="1:30" x14ac:dyDescent="0.35">
      <c r="A17" s="34" t="s">
        <v>45</v>
      </c>
      <c r="B17" s="5">
        <v>1.46</v>
      </c>
      <c r="C17" s="5">
        <v>1.73</v>
      </c>
      <c r="D17" s="17">
        <v>1.58</v>
      </c>
      <c r="E17" s="6">
        <v>1.58</v>
      </c>
      <c r="F17" s="1">
        <v>9.1</v>
      </c>
      <c r="G17" s="18">
        <f t="shared" si="19"/>
        <v>0.17362637362637365</v>
      </c>
      <c r="H17" s="19">
        <f t="shared" si="14"/>
        <v>0.25627252747252749</v>
      </c>
      <c r="I17" s="19">
        <f t="shared" si="15"/>
        <v>5.1764000855489926E+17</v>
      </c>
      <c r="J17" s="20">
        <v>0.1</v>
      </c>
      <c r="K17" s="19">
        <f t="shared" si="16"/>
        <v>0.57594936708860756</v>
      </c>
      <c r="L17" s="22">
        <f t="shared" si="0"/>
        <v>0.48722239300377279</v>
      </c>
      <c r="M17" s="21">
        <f t="shared" si="1"/>
        <v>4.8722239300377279E-2</v>
      </c>
      <c r="N17" s="22">
        <f t="shared" si="2"/>
        <v>4.9817121082408225E-2</v>
      </c>
      <c r="O17" s="20">
        <f t="shared" si="3"/>
        <v>0.17752808988764046</v>
      </c>
      <c r="P17" s="23">
        <f t="shared" si="4"/>
        <v>-0.12771096880523225</v>
      </c>
      <c r="Q17" s="19">
        <f>'[1]Mass Min'!M18</f>
        <v>-0.11024579211031059</v>
      </c>
      <c r="R17" s="20">
        <f>'[1]Mass Max'!M18</f>
        <v>-0.14954243967388425</v>
      </c>
      <c r="S17" s="20">
        <f t="shared" si="5"/>
        <v>2532206207846.8784</v>
      </c>
      <c r="T17" s="20">
        <f t="shared" si="6"/>
        <v>3.5937041666672486E-9</v>
      </c>
      <c r="U17" s="24">
        <f t="shared" si="7"/>
        <v>0.71608491605132096</v>
      </c>
      <c r="V17" s="20">
        <f t="shared" si="17"/>
        <v>1.3006986609950486</v>
      </c>
      <c r="W17" s="25">
        <f t="shared" si="8"/>
        <v>0.25638880349811366</v>
      </c>
      <c r="X17" s="24">
        <f t="shared" si="18"/>
        <v>12.403499069150813</v>
      </c>
      <c r="Y17" s="20" t="s">
        <v>37</v>
      </c>
      <c r="Z17" s="2" t="str">
        <f t="shared" si="9"/>
        <v>Partial visible</v>
      </c>
      <c r="AA17" s="2" t="str">
        <f t="shared" si="10"/>
        <v>Partial visible</v>
      </c>
      <c r="AB17" s="20" t="str">
        <f t="shared" si="11"/>
        <v>Partial visible</v>
      </c>
      <c r="AC17" s="4">
        <f t="shared" si="12"/>
        <v>2.8250400000000002E+47</v>
      </c>
      <c r="AD17" s="4">
        <f t="shared" si="13"/>
        <v>7.2396336771170298E+46</v>
      </c>
    </row>
    <row r="18" spans="1:30" x14ac:dyDescent="0.35">
      <c r="A18" s="35" t="s">
        <v>46</v>
      </c>
      <c r="B18" s="5">
        <v>1.3</v>
      </c>
      <c r="C18" s="5">
        <v>1.7</v>
      </c>
      <c r="D18" s="26">
        <v>1.51</v>
      </c>
      <c r="E18" s="27">
        <v>1.51</v>
      </c>
      <c r="F18" s="28">
        <v>10.9</v>
      </c>
      <c r="G18" s="18">
        <f t="shared" si="19"/>
        <v>0.13853211009174313</v>
      </c>
      <c r="H18" s="19">
        <f t="shared" si="14"/>
        <v>0.20447339449541285</v>
      </c>
      <c r="I18" s="19">
        <f t="shared" si="15"/>
        <v>6.4877198132269978E+17</v>
      </c>
      <c r="J18" s="20">
        <v>0.1</v>
      </c>
      <c r="K18" s="19">
        <f t="shared" si="16"/>
        <v>0.72185430463576161</v>
      </c>
      <c r="L18" s="22">
        <f t="shared" si="0"/>
        <v>0.59086766358523057</v>
      </c>
      <c r="M18" s="21">
        <f t="shared" si="1"/>
        <v>5.9086766358523057E-2</v>
      </c>
      <c r="N18" s="22">
        <f t="shared" si="2"/>
        <v>7.2364691382910268E-2</v>
      </c>
      <c r="O18" s="20">
        <f t="shared" si="3"/>
        <v>0.16966292134831459</v>
      </c>
      <c r="P18" s="23">
        <f t="shared" si="4"/>
        <v>-9.7298229965404326E-2</v>
      </c>
      <c r="Q18" s="19">
        <f>'[1]Mass Min'!M19</f>
        <v>-6.6734170749291472E-2</v>
      </c>
      <c r="R18" s="20">
        <f>'[1]Mass Max'!M19</f>
        <v>-0.12495142639903024</v>
      </c>
      <c r="S18" s="20">
        <f t="shared" si="5"/>
        <v>1686742230006.7332</v>
      </c>
      <c r="T18" s="20">
        <f t="shared" si="6"/>
        <v>6.4621610854887352E-9</v>
      </c>
      <c r="U18" s="24">
        <f t="shared" si="7"/>
        <v>0.6396345334757727</v>
      </c>
      <c r="V18" s="20">
        <f t="shared" si="17"/>
        <v>1.6302039400084951</v>
      </c>
      <c r="W18" s="25">
        <f t="shared" si="8"/>
        <v>0.20456616820738469</v>
      </c>
      <c r="X18" s="24">
        <f t="shared" si="18"/>
        <v>12.227048718250499</v>
      </c>
      <c r="Y18" s="20" t="s">
        <v>37</v>
      </c>
      <c r="Z18" s="2" t="str">
        <f t="shared" si="9"/>
        <v>Fully visible</v>
      </c>
      <c r="AA18" s="2" t="str">
        <f t="shared" si="10"/>
        <v>Partial visible</v>
      </c>
      <c r="AB18" s="20" t="str">
        <f t="shared" si="11"/>
        <v>Partial visible</v>
      </c>
      <c r="AC18" s="4">
        <f t="shared" si="12"/>
        <v>2.6998799999999999E+47</v>
      </c>
      <c r="AD18" s="4">
        <f t="shared" si="13"/>
        <v>5.5204083825468407E+46</v>
      </c>
    </row>
    <row r="19" spans="1:30" x14ac:dyDescent="0.35">
      <c r="A19" s="34" t="s">
        <v>47</v>
      </c>
      <c r="B19" s="5">
        <v>1.2</v>
      </c>
      <c r="C19" s="5">
        <v>1.6</v>
      </c>
      <c r="D19" s="17">
        <v>1.4</v>
      </c>
      <c r="E19" s="6">
        <v>1.4</v>
      </c>
      <c r="F19" s="1">
        <v>9.6999999999999993</v>
      </c>
      <c r="G19" s="18">
        <f t="shared" si="19"/>
        <v>0.14432989690721651</v>
      </c>
      <c r="H19" s="19">
        <f t="shared" si="14"/>
        <v>0.21303092783505156</v>
      </c>
      <c r="I19" s="19">
        <f t="shared" si="15"/>
        <v>6.2271091999871053E+17</v>
      </c>
      <c r="J19" s="20">
        <v>0.1</v>
      </c>
      <c r="K19" s="19">
        <f t="shared" si="16"/>
        <v>0.69285714285714284</v>
      </c>
      <c r="L19" s="22">
        <f t="shared" si="0"/>
        <v>0.57374483145426503</v>
      </c>
      <c r="M19" s="21">
        <f t="shared" si="1"/>
        <v>5.7374483145426508E-2</v>
      </c>
      <c r="N19" s="22">
        <f t="shared" si="2"/>
        <v>6.2531740057374954E-2</v>
      </c>
      <c r="O19" s="20">
        <f t="shared" si="3"/>
        <v>0.15730337078651685</v>
      </c>
      <c r="P19" s="23">
        <f t="shared" si="4"/>
        <v>-9.4771630729141895E-2</v>
      </c>
      <c r="Q19" s="19">
        <f>'[1]Mass Min'!M20</f>
        <v>-6.5663002904272502E-2</v>
      </c>
      <c r="R19" s="20">
        <f>'[1]Mass Max'!M20</f>
        <v>-0.1238802585540113</v>
      </c>
      <c r="S19" s="20">
        <f t="shared" si="5"/>
        <v>1974737320586.6721</v>
      </c>
      <c r="T19" s="20">
        <f t="shared" si="6"/>
        <v>4.9120457181202409E-9</v>
      </c>
      <c r="U19" s="24">
        <f t="shared" si="7"/>
        <v>0.65288220112493112</v>
      </c>
      <c r="V19" s="20">
        <f t="shared" si="17"/>
        <v>1.5647180281326623</v>
      </c>
      <c r="W19" s="25">
        <f t="shared" si="8"/>
        <v>0.21312758427286749</v>
      </c>
      <c r="X19" s="24">
        <f t="shared" si="18"/>
        <v>12.295509333984326</v>
      </c>
      <c r="Y19" s="20" t="s">
        <v>37</v>
      </c>
      <c r="Z19" s="2" t="str">
        <f t="shared" si="9"/>
        <v>Fully visible</v>
      </c>
      <c r="AA19" s="2" t="str">
        <f t="shared" si="10"/>
        <v>Partial visible</v>
      </c>
      <c r="AB19" s="20" t="str">
        <f t="shared" si="11"/>
        <v>Partial visible</v>
      </c>
      <c r="AC19" s="4">
        <f t="shared" si="12"/>
        <v>2.5032000000000001E+47</v>
      </c>
      <c r="AD19" s="4">
        <f t="shared" si="13"/>
        <v>5.3324666391793574E+46</v>
      </c>
    </row>
    <row r="20" spans="1:30" x14ac:dyDescent="0.35">
      <c r="A20" s="34" t="s">
        <v>48</v>
      </c>
      <c r="B20" s="5">
        <v>1.2</v>
      </c>
      <c r="C20" s="5">
        <v>1.6</v>
      </c>
      <c r="D20" s="17">
        <v>1.4</v>
      </c>
      <c r="E20" s="6">
        <v>1.4</v>
      </c>
      <c r="F20" s="1">
        <v>10</v>
      </c>
      <c r="G20" s="18">
        <f t="shared" si="19"/>
        <v>0.13999999999999999</v>
      </c>
      <c r="H20" s="19">
        <f t="shared" si="14"/>
        <v>0.20663999999999996</v>
      </c>
      <c r="I20" s="19">
        <f t="shared" si="15"/>
        <v>6.4196984283697997E+17</v>
      </c>
      <c r="J20" s="20">
        <v>0.1</v>
      </c>
      <c r="K20" s="19">
        <f t="shared" si="16"/>
        <v>0.71428571428571441</v>
      </c>
      <c r="L20" s="22">
        <f t="shared" si="0"/>
        <v>0.58653248651063694</v>
      </c>
      <c r="M20" s="21">
        <f t="shared" si="1"/>
        <v>5.8653248651063694E-2</v>
      </c>
      <c r="N20" s="22">
        <f t="shared" si="2"/>
        <v>6.5902526574228862E-2</v>
      </c>
      <c r="O20" s="20">
        <f t="shared" si="3"/>
        <v>0.15730337078651685</v>
      </c>
      <c r="P20" s="23">
        <f t="shared" si="4"/>
        <v>-9.1400844212287988E-2</v>
      </c>
      <c r="Q20" s="19">
        <f>'[1]Mass Min'!M21</f>
        <v>-6.2292216387418567E-2</v>
      </c>
      <c r="R20" s="20">
        <f>'[1]Mass Max'!M21</f>
        <v>-0.12050947203715737</v>
      </c>
      <c r="S20" s="20">
        <f t="shared" si="5"/>
        <v>1858030344939.9998</v>
      </c>
      <c r="T20" s="20">
        <f t="shared" si="6"/>
        <v>5.3820434242277806E-9</v>
      </c>
      <c r="U20" s="24">
        <f t="shared" si="7"/>
        <v>0.64301439602030908</v>
      </c>
      <c r="V20" s="20">
        <f t="shared" si="17"/>
        <v>1.6131113692089303</v>
      </c>
      <c r="W20" s="25">
        <f t="shared" si="8"/>
        <v>0.2067337567446815</v>
      </c>
      <c r="X20" s="24">
        <f t="shared" si="18"/>
        <v>12.269052802516816</v>
      </c>
      <c r="Y20" s="20" t="s">
        <v>37</v>
      </c>
      <c r="Z20" s="2" t="str">
        <f t="shared" si="9"/>
        <v>Fully visible</v>
      </c>
      <c r="AA20" s="2" t="str">
        <f t="shared" si="10"/>
        <v>Partial visible</v>
      </c>
      <c r="AB20" s="20" t="str">
        <f t="shared" si="11"/>
        <v>Partial visible</v>
      </c>
      <c r="AC20" s="4">
        <f t="shared" si="12"/>
        <v>2.5032000000000001E+47</v>
      </c>
      <c r="AD20" s="4">
        <f t="shared" si="13"/>
        <v>5.172492640003977E+46</v>
      </c>
    </row>
    <row r="21" spans="1:30" x14ac:dyDescent="0.35">
      <c r="A21" s="34" t="s">
        <v>49</v>
      </c>
      <c r="B21" s="5">
        <v>1.3</v>
      </c>
      <c r="C21" s="5">
        <v>1.8</v>
      </c>
      <c r="D21" s="17">
        <v>1.5</v>
      </c>
      <c r="E21" s="6">
        <v>1.5</v>
      </c>
      <c r="F21" s="1">
        <v>12.1</v>
      </c>
      <c r="G21" s="18">
        <f t="shared" si="19"/>
        <v>0.12396694214876033</v>
      </c>
      <c r="H21" s="19">
        <f t="shared" si="14"/>
        <v>0.18297520661157024</v>
      </c>
      <c r="I21" s="19">
        <f t="shared" si="15"/>
        <v>7.249972038853321E+17</v>
      </c>
      <c r="J21" s="20">
        <v>0.1</v>
      </c>
      <c r="K21" s="19">
        <f t="shared" si="16"/>
        <v>0.80666666666666664</v>
      </c>
      <c r="L21" s="22">
        <f t="shared" si="0"/>
        <v>0.63388354767765975</v>
      </c>
      <c r="M21" s="21">
        <f t="shared" si="1"/>
        <v>6.3388354767765984E-2</v>
      </c>
      <c r="N21" s="22">
        <f t="shared" si="2"/>
        <v>8.6179673335951501E-2</v>
      </c>
      <c r="O21" s="20">
        <f t="shared" si="3"/>
        <v>0.16853932584269662</v>
      </c>
      <c r="P21" s="23">
        <f t="shared" si="4"/>
        <v>-8.2359652506745124E-2</v>
      </c>
      <c r="Q21" s="19">
        <f>'[1]Mass Min'!M22</f>
        <v>-5.3251024681875772E-2</v>
      </c>
      <c r="R21" s="20">
        <f>'[1]Mass Max'!M22</f>
        <v>-0.12602259424404921</v>
      </c>
      <c r="S21" s="20">
        <f t="shared" si="5"/>
        <v>1359706849361.3821</v>
      </c>
      <c r="T21" s="20">
        <f t="shared" si="6"/>
        <v>8.8989770152904982E-9</v>
      </c>
      <c r="U21" s="24">
        <f t="shared" si="7"/>
        <v>0.60507557571128279</v>
      </c>
      <c r="V21" s="20">
        <f t="shared" si="17"/>
        <v>1.8217404396266186</v>
      </c>
      <c r="W21" s="25">
        <f t="shared" si="8"/>
        <v>0.18305822616117012</v>
      </c>
      <c r="X21" s="24">
        <f t="shared" si="18"/>
        <v>12.133445285261358</v>
      </c>
      <c r="Y21" s="20" t="s">
        <v>37</v>
      </c>
      <c r="Z21" s="2" t="str">
        <f t="shared" si="9"/>
        <v>Fully visible</v>
      </c>
      <c r="AA21" s="2" t="str">
        <f t="shared" si="10"/>
        <v>Partial visible</v>
      </c>
      <c r="AB21" s="20" t="str">
        <f t="shared" si="11"/>
        <v>Partial visible</v>
      </c>
      <c r="AC21" s="4">
        <f t="shared" si="12"/>
        <v>2.6819999999999999E+47</v>
      </c>
      <c r="AD21" s="4">
        <f t="shared" si="13"/>
        <v>4.9072813459305738E+46</v>
      </c>
    </row>
    <row r="22" spans="1:30" ht="15" thickBot="1" x14ac:dyDescent="0.4">
      <c r="A22" s="45" t="s">
        <v>50</v>
      </c>
      <c r="B22" s="39">
        <v>1.2</v>
      </c>
      <c r="C22" s="39">
        <v>1.6</v>
      </c>
      <c r="D22" s="40">
        <v>1.4</v>
      </c>
      <c r="E22" s="46">
        <v>1.4</v>
      </c>
      <c r="F22" s="47">
        <v>12.5</v>
      </c>
      <c r="G22" s="48">
        <f t="shared" si="19"/>
        <v>0.11199999999999999</v>
      </c>
      <c r="H22" s="49">
        <f t="shared" si="14"/>
        <v>0.16531199999999999</v>
      </c>
      <c r="I22" s="49">
        <f t="shared" si="15"/>
        <v>8.0246117015267443E+17</v>
      </c>
      <c r="J22" s="50">
        <v>0.1</v>
      </c>
      <c r="K22" s="49">
        <f t="shared" si="16"/>
        <v>0.89285714285714302</v>
      </c>
      <c r="L22" s="33">
        <f t="shared" si="0"/>
        <v>0.66922598920850973</v>
      </c>
      <c r="M22" s="32">
        <f t="shared" si="1"/>
        <v>6.6922598920850979E-2</v>
      </c>
      <c r="N22" s="33">
        <f t="shared" si="2"/>
        <v>9.3992414214678341E-2</v>
      </c>
      <c r="O22" s="50">
        <f t="shared" si="3"/>
        <v>0.15730337078651685</v>
      </c>
      <c r="P22" s="51">
        <f t="shared" si="4"/>
        <v>-6.3310956571838509E-2</v>
      </c>
      <c r="Q22" s="49">
        <f>'[1]Mass Min'!M23</f>
        <v>-3.4202328746969116E-2</v>
      </c>
      <c r="R22" s="50">
        <f>'[1]Mass Max'!M23</f>
        <v>-9.2419584396707916E-2</v>
      </c>
      <c r="S22" s="50">
        <f t="shared" si="5"/>
        <v>1189139420761.5999</v>
      </c>
      <c r="T22" s="50">
        <f t="shared" si="6"/>
        <v>1.0511803562944883E-8</v>
      </c>
      <c r="U22" s="52">
        <f t="shared" si="7"/>
        <v>0.57512956000495252</v>
      </c>
      <c r="V22" s="50">
        <f t="shared" si="17"/>
        <v>2.016389211511163</v>
      </c>
      <c r="W22" s="53">
        <f t="shared" si="8"/>
        <v>0.16538700539574516</v>
      </c>
      <c r="X22" s="52">
        <f t="shared" si="18"/>
        <v>12.075232776500703</v>
      </c>
      <c r="Y22" s="50" t="s">
        <v>37</v>
      </c>
      <c r="Z22" s="37" t="str">
        <f t="shared" si="9"/>
        <v>Fully visible</v>
      </c>
      <c r="AA22" s="37" t="str">
        <f t="shared" si="10"/>
        <v>Fully visible</v>
      </c>
      <c r="AB22" s="50" t="str">
        <f t="shared" si="11"/>
        <v>Partial visible</v>
      </c>
      <c r="AC22" s="7">
        <f t="shared" si="12"/>
        <v>2.5032000000000001E+47</v>
      </c>
      <c r="AD22" s="7">
        <f t="shared" si="13"/>
        <v>4.1379941120031817E+46</v>
      </c>
    </row>
    <row r="23" spans="1:30" x14ac:dyDescent="0.35">
      <c r="A23" s="61" t="s">
        <v>51</v>
      </c>
      <c r="B23" s="62"/>
      <c r="C23" s="62"/>
      <c r="D23" s="63"/>
      <c r="E23" s="64">
        <v>1200000000000000</v>
      </c>
      <c r="F23" s="64">
        <v>4.62852E+19</v>
      </c>
      <c r="G23" s="65">
        <f t="shared" si="19"/>
        <v>2.5926213994970316E-5</v>
      </c>
      <c r="H23" s="66">
        <f t="shared" si="14"/>
        <v>3.8267091856576183E-5</v>
      </c>
      <c r="I23" s="66">
        <f t="shared" si="15"/>
        <v>3.4665885999057789E+21</v>
      </c>
      <c r="J23" s="64">
        <v>1</v>
      </c>
      <c r="K23" s="66">
        <f t="shared" si="16"/>
        <v>38571</v>
      </c>
      <c r="L23" s="64">
        <f t="shared" si="0"/>
        <v>0.99992343109118076</v>
      </c>
      <c r="M23" s="66">
        <f t="shared" si="1"/>
        <v>0.99992343109118076</v>
      </c>
      <c r="N23" s="64">
        <f t="shared" si="2"/>
        <v>5.2001860666001705E+18</v>
      </c>
      <c r="O23" s="64">
        <f t="shared" si="3"/>
        <v>134831460674157.3</v>
      </c>
      <c r="P23" s="64">
        <f t="shared" si="4"/>
        <v>5.2000512351394959E+18</v>
      </c>
      <c r="Q23" s="66">
        <f>'[1]Mass Min'!M23</f>
        <v>-3.4202328746969116E-2</v>
      </c>
      <c r="R23" s="64">
        <f>'[1]Mass Max'!M23</f>
        <v>-9.2419584396707916E-2</v>
      </c>
      <c r="S23" s="64">
        <f t="shared" si="5"/>
        <v>7.4339857375055645E-11</v>
      </c>
      <c r="T23" s="64">
        <f t="shared" si="6"/>
        <v>6.2261620662633605E+32</v>
      </c>
      <c r="U23" s="64">
        <f t="shared" si="7"/>
        <v>8.7503662105788051E-3</v>
      </c>
      <c r="V23" s="64">
        <f t="shared" si="17"/>
        <v>8710.704607046071</v>
      </c>
      <c r="W23" s="64">
        <f t="shared" si="8"/>
        <v>3.8284454409619648E-5</v>
      </c>
      <c r="X23" s="67">
        <f t="shared" si="18"/>
        <v>-10.128778276456405</v>
      </c>
      <c r="Y23" s="64" t="s">
        <v>52</v>
      </c>
      <c r="Z23" s="68" t="str">
        <f t="shared" si="9"/>
        <v>Fully visible</v>
      </c>
      <c r="AA23" s="68" t="str">
        <f t="shared" si="10"/>
        <v>Fully visible</v>
      </c>
      <c r="AB23" s="64" t="str">
        <f t="shared" si="11"/>
        <v>Fully visible</v>
      </c>
      <c r="AC23" s="69">
        <f t="shared" si="12"/>
        <v>2.1455999999999999E+62</v>
      </c>
      <c r="AD23" s="69">
        <f t="shared" si="13"/>
        <v>8.2103970044174758E+57</v>
      </c>
    </row>
    <row r="24" spans="1:30" x14ac:dyDescent="0.35">
      <c r="A24" s="70" t="s">
        <v>53</v>
      </c>
      <c r="B24" s="71"/>
      <c r="C24" s="71"/>
      <c r="D24" s="72"/>
      <c r="E24" s="73">
        <v>2000000000000</v>
      </c>
      <c r="F24" s="73">
        <v>5.67642E+17</v>
      </c>
      <c r="G24" s="74">
        <f t="shared" si="19"/>
        <v>3.5233474619566559E-6</v>
      </c>
      <c r="H24" s="75">
        <f t="shared" si="14"/>
        <v>5.2004608538480238E-6</v>
      </c>
      <c r="I24" s="75">
        <f t="shared" si="15"/>
        <v>2.5508559358426232E+22</v>
      </c>
      <c r="J24" s="73">
        <v>0.9</v>
      </c>
      <c r="K24" s="75">
        <f t="shared" si="16"/>
        <v>255438.9</v>
      </c>
      <c r="L24" s="73">
        <f t="shared" si="0"/>
        <v>0.99998959435918389</v>
      </c>
      <c r="M24" s="75">
        <f t="shared" si="1"/>
        <v>0.89999063492326548</v>
      </c>
      <c r="N24" s="73">
        <f t="shared" si="2"/>
        <v>5.7401402695405872E+16</v>
      </c>
      <c r="O24" s="73">
        <f t="shared" si="3"/>
        <v>224719101123.59549</v>
      </c>
      <c r="P24" s="73">
        <f t="shared" si="4"/>
        <v>5.7401177976304752E+16</v>
      </c>
      <c r="Q24" s="75">
        <f>'[1]Mass Min'!M22</f>
        <v>-5.3251024681875772E-2</v>
      </c>
      <c r="R24" s="73">
        <f>'[1]Mass Max'!M22</f>
        <v>-0.12602259424404921</v>
      </c>
      <c r="S24" s="73">
        <f t="shared" si="5"/>
        <v>8.2376952124286572E-10</v>
      </c>
      <c r="T24" s="73">
        <f t="shared" si="6"/>
        <v>6.8907866261374635E+29</v>
      </c>
      <c r="U24" s="73">
        <f t="shared" si="7"/>
        <v>3.2257775521728053E-3</v>
      </c>
      <c r="V24" s="73">
        <f t="shared" si="17"/>
        <v>64096.883468834691</v>
      </c>
      <c r="W24" s="73">
        <f t="shared" si="8"/>
        <v>5.202820408050987E-6</v>
      </c>
      <c r="X24" s="76">
        <f t="shared" si="18"/>
        <v>-9.0841942806011478</v>
      </c>
      <c r="Y24" s="73" t="s">
        <v>52</v>
      </c>
      <c r="Z24" s="77" t="str">
        <f t="shared" si="9"/>
        <v>Fully visible</v>
      </c>
      <c r="AA24" s="77" t="str">
        <f t="shared" si="10"/>
        <v>Fully visible</v>
      </c>
      <c r="AB24" s="73" t="str">
        <f t="shared" si="11"/>
        <v>Fully visible</v>
      </c>
      <c r="AC24" s="78">
        <f t="shared" si="12"/>
        <v>3.5759999999999998E+59</v>
      </c>
      <c r="AD24" s="78">
        <f t="shared" si="13"/>
        <v>1.8596417158313779E+54</v>
      </c>
    </row>
    <row r="25" spans="1:30" ht="15" thickBot="1" x14ac:dyDescent="0.4">
      <c r="A25" s="79" t="s">
        <v>54</v>
      </c>
      <c r="B25" s="80"/>
      <c r="C25" s="80"/>
      <c r="D25" s="81"/>
      <c r="E25" s="82">
        <v>100000000000000</v>
      </c>
      <c r="F25" s="82">
        <v>1.89214E+19</v>
      </c>
      <c r="G25" s="83">
        <f t="shared" si="19"/>
        <v>5.2850211929349838E-6</v>
      </c>
      <c r="H25" s="84">
        <f t="shared" si="14"/>
        <v>7.8006912807720352E-6</v>
      </c>
      <c r="I25" s="84">
        <f t="shared" si="15"/>
        <v>1.700570623895082E+22</v>
      </c>
      <c r="J25" s="82">
        <v>0.9</v>
      </c>
      <c r="K25" s="84">
        <f t="shared" si="16"/>
        <v>170292.6</v>
      </c>
      <c r="L25" s="82">
        <f t="shared" si="0"/>
        <v>0.99998439153877583</v>
      </c>
      <c r="M25" s="84">
        <f t="shared" si="1"/>
        <v>0.89998595238489831</v>
      </c>
      <c r="N25" s="82">
        <f t="shared" si="2"/>
        <v>1.9133701347702938E+18</v>
      </c>
      <c r="O25" s="82">
        <f t="shared" si="3"/>
        <v>11235955056179.775</v>
      </c>
      <c r="P25" s="82">
        <f t="shared" si="4"/>
        <v>1.9133588988152376E+18</v>
      </c>
      <c r="Q25" s="84">
        <f>'[1]Mass Min'!M23</f>
        <v>-3.4202328746969116E-2</v>
      </c>
      <c r="R25" s="82">
        <f>'[1]Mass Max'!M23</f>
        <v>-9.2419584396707916E-2</v>
      </c>
      <c r="S25" s="82">
        <f t="shared" si="5"/>
        <v>3.7069628455928944E-11</v>
      </c>
      <c r="T25" s="82">
        <f t="shared" si="6"/>
        <v>5.1042863897314567E+32</v>
      </c>
      <c r="U25" s="82">
        <f t="shared" si="7"/>
        <v>3.9507545132737567E-3</v>
      </c>
      <c r="V25" s="82">
        <f t="shared" si="17"/>
        <v>42731.255645889789</v>
      </c>
      <c r="W25" s="82">
        <f t="shared" si="8"/>
        <v>7.8042306120764797E-6</v>
      </c>
      <c r="X25" s="85">
        <f t="shared" si="18"/>
        <v>-10.430981766825804</v>
      </c>
      <c r="Y25" s="82" t="s">
        <v>52</v>
      </c>
      <c r="Z25" s="86" t="str">
        <f t="shared" si="9"/>
        <v>Fully visible</v>
      </c>
      <c r="AA25" s="86" t="str">
        <f t="shared" si="10"/>
        <v>Fully visible</v>
      </c>
      <c r="AB25" s="82" t="str">
        <f t="shared" si="11"/>
        <v>Fully visible</v>
      </c>
      <c r="AC25" s="87">
        <f t="shared" si="12"/>
        <v>1.7879999999999999E+61</v>
      </c>
      <c r="AD25" s="87">
        <f t="shared" si="13"/>
        <v>1.3947312868735328E+56</v>
      </c>
    </row>
    <row r="26" spans="1:30" x14ac:dyDescent="0.35">
      <c r="A26" s="88" t="s">
        <v>55</v>
      </c>
      <c r="B26" s="71">
        <v>0.6</v>
      </c>
      <c r="C26" s="71">
        <v>0.9</v>
      </c>
      <c r="D26" s="72">
        <v>0.77</v>
      </c>
      <c r="E26" s="73">
        <v>0.77</v>
      </c>
      <c r="F26" s="73">
        <v>10.4</v>
      </c>
      <c r="G26" s="74">
        <f t="shared" si="19"/>
        <v>7.4038461538461539E-2</v>
      </c>
      <c r="H26" s="75">
        <f t="shared" si="14"/>
        <v>0.10928076923076924</v>
      </c>
      <c r="I26" s="75">
        <f t="shared" si="15"/>
        <v>1.2139040433723131E+18</v>
      </c>
      <c r="J26" s="73">
        <v>0.1</v>
      </c>
      <c r="K26" s="75">
        <f t="shared" si="16"/>
        <v>1.3506493506493507</v>
      </c>
      <c r="L26" s="73">
        <f t="shared" si="0"/>
        <v>0.78133929575081762</v>
      </c>
      <c r="M26" s="75">
        <f t="shared" si="1"/>
        <v>7.8133929575081765E-2</v>
      </c>
      <c r="N26" s="73">
        <f t="shared" si="2"/>
        <v>9.1302569391106772E-2</v>
      </c>
      <c r="O26" s="73">
        <f t="shared" si="3"/>
        <v>8.6516853932584264E-2</v>
      </c>
      <c r="P26" s="73">
        <f t="shared" si="4"/>
        <v>4.7857154585225076E-3</v>
      </c>
      <c r="Q26" s="75">
        <f>'[1]Mass Min'!M24</f>
        <v>2.9528049109661503E-2</v>
      </c>
      <c r="R26" s="73">
        <f>'[1]Mass Max'!M24</f>
        <v>-1.4134892627642587E-2</v>
      </c>
      <c r="S26" s="73">
        <f t="shared" si="5"/>
        <v>944819424664.38599</v>
      </c>
      <c r="T26" s="73">
        <f t="shared" si="6"/>
        <v>1.1007394353364651E-8</v>
      </c>
      <c r="U26" s="73">
        <f t="shared" si="7"/>
        <v>0.46761170242967864</v>
      </c>
      <c r="V26" s="73">
        <f t="shared" si="17"/>
        <v>3.0502469526859772</v>
      </c>
      <c r="W26" s="73">
        <f t="shared" si="8"/>
        <v>0.10933035212459118</v>
      </c>
      <c r="X26" s="76">
        <f t="shared" si="18"/>
        <v>11.975348813413499</v>
      </c>
      <c r="Y26" s="73" t="s">
        <v>52</v>
      </c>
      <c r="Z26" s="77" t="str">
        <f t="shared" si="9"/>
        <v>Fully visible</v>
      </c>
      <c r="AA26" s="77" t="str">
        <f t="shared" si="10"/>
        <v>Fully visible</v>
      </c>
      <c r="AB26" s="73" t="str">
        <f t="shared" si="11"/>
        <v>Fully visible</v>
      </c>
      <c r="AC26" s="78">
        <f t="shared" si="12"/>
        <v>1.3767600000000001E+47</v>
      </c>
      <c r="AD26" s="78">
        <f t="shared" si="13"/>
        <v>1.5044990611550034E+46</v>
      </c>
    </row>
    <row r="27" spans="1:30" x14ac:dyDescent="0.35">
      <c r="A27" s="88" t="s">
        <v>56</v>
      </c>
      <c r="B27" s="89"/>
      <c r="C27" s="89"/>
      <c r="D27" s="75"/>
      <c r="E27" s="73">
        <f>1.76E-20</f>
        <v>1.76E-20</v>
      </c>
      <c r="F27" s="73">
        <v>0.16500000000000001</v>
      </c>
      <c r="G27" s="74">
        <f t="shared" si="19"/>
        <v>1.0666666666666666E-19</v>
      </c>
      <c r="H27" s="75">
        <f t="shared" si="14"/>
        <v>1.5744E-19</v>
      </c>
      <c r="I27" s="75">
        <f t="shared" si="15"/>
        <v>8.4258298006576654E+35</v>
      </c>
      <c r="J27" s="73">
        <v>1</v>
      </c>
      <c r="K27" s="75">
        <f t="shared" si="16"/>
        <v>9.375E+18</v>
      </c>
      <c r="L27" s="73">
        <f t="shared" si="0"/>
        <v>1</v>
      </c>
      <c r="M27" s="75">
        <f t="shared" si="1"/>
        <v>1</v>
      </c>
      <c r="N27" s="73">
        <f t="shared" si="2"/>
        <v>1.853932584269663E-2</v>
      </c>
      <c r="O27" s="73">
        <f t="shared" si="3"/>
        <v>1.9775280898876402E-21</v>
      </c>
      <c r="P27" s="73">
        <f t="shared" si="4"/>
        <v>1.853932584269663E-2</v>
      </c>
      <c r="Q27" s="75">
        <f>'[1]Mass Min'!M24</f>
        <v>2.9528049109661503E-2</v>
      </c>
      <c r="R27" s="73">
        <f>'[1]Mass Max'!M24</f>
        <v>-1.4134892627642587E-2</v>
      </c>
      <c r="S27" s="73">
        <f t="shared" si="5"/>
        <v>8.5796495004444433E-5</v>
      </c>
      <c r="T27" s="73">
        <f t="shared" si="6"/>
        <v>1923155.4854478922</v>
      </c>
      <c r="U27" s="73">
        <f t="shared" si="7"/>
        <v>5.6126897956369105E-10</v>
      </c>
      <c r="V27" s="73">
        <f t="shared" si="17"/>
        <v>2.117208672086721E+18</v>
      </c>
      <c r="W27" s="73">
        <f t="shared" si="8"/>
        <v>1.5751143371023349E-19</v>
      </c>
      <c r="X27" s="76">
        <f t="shared" si="18"/>
        <v>-4.0665304537750853</v>
      </c>
      <c r="Y27" s="73" t="s">
        <v>52</v>
      </c>
      <c r="Z27" s="77" t="str">
        <f t="shared" si="9"/>
        <v>Fully visible</v>
      </c>
      <c r="AA27" s="77" t="str">
        <f t="shared" si="10"/>
        <v>Fully visible</v>
      </c>
      <c r="AB27" s="73" t="str">
        <f t="shared" si="11"/>
        <v>Fully visible</v>
      </c>
      <c r="AC27" s="78">
        <f t="shared" si="12"/>
        <v>3.1468800000000001E+27</v>
      </c>
      <c r="AD27" s="78">
        <f t="shared" si="13"/>
        <v>495433308.64800006</v>
      </c>
    </row>
    <row r="28" spans="1:30" x14ac:dyDescent="0.35">
      <c r="A28" s="90" t="s">
        <v>57</v>
      </c>
      <c r="B28" s="75"/>
      <c r="C28" s="75"/>
      <c r="D28" s="75">
        <v>3.7000000000000001E-20</v>
      </c>
      <c r="E28" s="73">
        <v>3.7000000000000001E-20</v>
      </c>
      <c r="F28" s="73">
        <v>0.245</v>
      </c>
      <c r="G28" s="74">
        <f t="shared" si="19"/>
        <v>1.510204081632653E-19</v>
      </c>
      <c r="H28" s="75">
        <f t="shared" si="14"/>
        <v>2.2290612244897957E-19</v>
      </c>
      <c r="I28" s="75">
        <f t="shared" si="15"/>
        <v>5.951216724068117E+35</v>
      </c>
      <c r="J28" s="73">
        <v>1</v>
      </c>
      <c r="K28" s="75">
        <f t="shared" si="16"/>
        <v>6.6216216216216218E+18</v>
      </c>
      <c r="L28" s="73">
        <f t="shared" si="0"/>
        <v>1</v>
      </c>
      <c r="M28" s="75">
        <f t="shared" si="1"/>
        <v>1</v>
      </c>
      <c r="N28" s="73">
        <f t="shared" si="2"/>
        <v>2.7528089887640449E-2</v>
      </c>
      <c r="O28" s="73">
        <f t="shared" si="3"/>
        <v>4.157303370786517E-21</v>
      </c>
      <c r="P28" s="73">
        <f t="shared" si="4"/>
        <v>2.7528089887640449E-2</v>
      </c>
      <c r="Q28" s="75">
        <f>'[1]Mass Min'!M25</f>
        <v>2.7528089887640449E-2</v>
      </c>
      <c r="R28" s="73">
        <f>'[1]Mass Max'!M25</f>
        <v>2.7528089887640449E-2</v>
      </c>
      <c r="S28" s="73">
        <f t="shared" si="5"/>
        <v>8.1807726260224904E-5</v>
      </c>
      <c r="T28" s="73">
        <f t="shared" si="6"/>
        <v>2994827.1538640666</v>
      </c>
      <c r="U28" s="73">
        <f t="shared" si="7"/>
        <v>6.6784318438117322E-10</v>
      </c>
      <c r="V28" s="73">
        <f t="shared" si="17"/>
        <v>1.4953978368612516E+18</v>
      </c>
      <c r="W28" s="73">
        <f t="shared" si="8"/>
        <v>2.2300725946219287E-19</v>
      </c>
      <c r="X28" s="76">
        <f t="shared" si="18"/>
        <v>-4.0872056778234924</v>
      </c>
      <c r="Y28" s="73" t="s">
        <v>52</v>
      </c>
      <c r="Z28" s="77" t="str">
        <f t="shared" si="9"/>
        <v>Fully visible</v>
      </c>
      <c r="AA28" s="77" t="str">
        <f t="shared" si="10"/>
        <v>Fully visible</v>
      </c>
      <c r="AB28" s="73" t="str">
        <f t="shared" si="11"/>
        <v>Fully visible</v>
      </c>
      <c r="AC28" s="78">
        <f t="shared" si="12"/>
        <v>6.6155999999999999E+27</v>
      </c>
      <c r="AD28" s="78">
        <f t="shared" si="13"/>
        <v>1474623578.5434082</v>
      </c>
    </row>
    <row r="29" spans="1:30" x14ac:dyDescent="0.35">
      <c r="A29" s="90" t="s">
        <v>58</v>
      </c>
      <c r="B29" s="75"/>
      <c r="C29" s="75"/>
      <c r="D29" s="75">
        <v>3.7E-8</v>
      </c>
      <c r="E29" s="73">
        <v>3.7E-8</v>
      </c>
      <c r="F29" s="73">
        <v>1737</v>
      </c>
      <c r="G29" s="74">
        <f t="shared" si="19"/>
        <v>2.1301093839953943E-11</v>
      </c>
      <c r="H29" s="75">
        <f t="shared" si="14"/>
        <v>3.1440414507772021E-11</v>
      </c>
      <c r="I29" s="75">
        <f t="shared" si="15"/>
        <v>4.2192912039617625E+27</v>
      </c>
      <c r="J29" s="73">
        <v>1</v>
      </c>
      <c r="K29" s="75">
        <f t="shared" si="16"/>
        <v>46945945945.945946</v>
      </c>
      <c r="L29" s="73">
        <f t="shared" si="0"/>
        <v>0.99999999993709066</v>
      </c>
      <c r="M29" s="75">
        <f t="shared" si="1"/>
        <v>0.99999999993709066</v>
      </c>
      <c r="N29" s="73">
        <f t="shared" si="2"/>
        <v>195.16853931356476</v>
      </c>
      <c r="O29" s="73">
        <f t="shared" si="3"/>
        <v>4.1573033707865164E-9</v>
      </c>
      <c r="P29" s="73">
        <f t="shared" si="4"/>
        <v>195.16853930940746</v>
      </c>
      <c r="Q29" s="75">
        <f>'[1]Mass Min'!M26</f>
        <v>195.16853930940746</v>
      </c>
      <c r="R29" s="73">
        <f>'[1]Mass Max'!M26</f>
        <v>195.16853930940746</v>
      </c>
      <c r="S29" s="73">
        <f t="shared" si="5"/>
        <v>1.627521948147419</v>
      </c>
      <c r="T29" s="73">
        <f t="shared" si="6"/>
        <v>1067266.7130401516</v>
      </c>
      <c r="U29" s="73">
        <f t="shared" si="7"/>
        <v>7.9315420517474519E-6</v>
      </c>
      <c r="V29" s="73">
        <f t="shared" si="17"/>
        <v>10602065480.11426</v>
      </c>
      <c r="W29" s="73">
        <f t="shared" si="8"/>
        <v>3.1454679659319092E-11</v>
      </c>
      <c r="X29" s="76">
        <f t="shared" si="18"/>
        <v>0.21152685401137522</v>
      </c>
      <c r="Y29" s="73" t="s">
        <v>52</v>
      </c>
      <c r="Z29" s="77" t="str">
        <f t="shared" si="9"/>
        <v>Fully visible</v>
      </c>
      <c r="AA29" s="77" t="str">
        <f t="shared" si="10"/>
        <v>Fully visible</v>
      </c>
      <c r="AB29" s="73" t="str">
        <f t="shared" si="11"/>
        <v>Fully visible</v>
      </c>
      <c r="AC29" s="78">
        <f t="shared" si="12"/>
        <v>6.6156000000000001E+39</v>
      </c>
      <c r="AD29" s="78">
        <f t="shared" si="13"/>
        <v>2.079923873017473E+29</v>
      </c>
    </row>
    <row r="30" spans="1:30" x14ac:dyDescent="0.35">
      <c r="A30" s="90" t="s">
        <v>59</v>
      </c>
      <c r="B30" s="75"/>
      <c r="C30" s="75"/>
      <c r="D30" s="75">
        <v>1.2</v>
      </c>
      <c r="E30" s="73">
        <v>1.2</v>
      </c>
      <c r="F30" s="73">
        <v>7000</v>
      </c>
      <c r="G30" s="74">
        <f t="shared" si="19"/>
        <v>1.7142857142857143E-4</v>
      </c>
      <c r="H30" s="75">
        <f t="shared" si="14"/>
        <v>2.5302857142857143E-4</v>
      </c>
      <c r="I30" s="75">
        <f t="shared" si="15"/>
        <v>5.2427385426314691E+20</v>
      </c>
      <c r="J30" s="73">
        <v>0.45</v>
      </c>
      <c r="K30" s="75">
        <f t="shared" si="16"/>
        <v>2625</v>
      </c>
      <c r="L30" s="73">
        <f t="shared" si="0"/>
        <v>0.99949371324878855</v>
      </c>
      <c r="M30" s="75">
        <f t="shared" si="1"/>
        <v>0.44977217096195488</v>
      </c>
      <c r="N30" s="73">
        <f t="shared" si="2"/>
        <v>353.75339289142516</v>
      </c>
      <c r="O30" s="73">
        <f t="shared" si="3"/>
        <v>0.1348314606741573</v>
      </c>
      <c r="P30" s="73">
        <f t="shared" si="4"/>
        <v>353.61856143075101</v>
      </c>
      <c r="Q30" s="75">
        <f>'[1]Mass Min'!M27</f>
        <v>353.61856143075101</v>
      </c>
      <c r="R30" s="73">
        <f>'[1]Mass Max'!M27</f>
        <v>353.61856143075101</v>
      </c>
      <c r="S30" s="73">
        <f t="shared" si="5"/>
        <v>3250198.8541224487</v>
      </c>
      <c r="T30" s="73">
        <f t="shared" si="6"/>
        <v>2.1537143769284834</v>
      </c>
      <c r="U30" s="73">
        <f t="shared" si="7"/>
        <v>2.2500816678766682E-2</v>
      </c>
      <c r="V30" s="73">
        <f t="shared" si="17"/>
        <v>1317.3742848539596</v>
      </c>
      <c r="W30" s="73">
        <f t="shared" si="8"/>
        <v>2.5314337560573244E-4</v>
      </c>
      <c r="X30" s="76">
        <f t="shared" si="18"/>
        <v>6.511909932857689</v>
      </c>
      <c r="Y30" s="73" t="s">
        <v>52</v>
      </c>
      <c r="Z30" s="77" t="str">
        <f t="shared" si="9"/>
        <v>Fully visible</v>
      </c>
      <c r="AA30" s="77" t="str">
        <f t="shared" si="10"/>
        <v>Fully visible</v>
      </c>
      <c r="AB30" s="73" t="str">
        <f t="shared" si="11"/>
        <v>Fully visible</v>
      </c>
      <c r="AC30" s="78">
        <f t="shared" si="12"/>
        <v>2.1455999999999999E+47</v>
      </c>
      <c r="AD30" s="78">
        <f t="shared" si="13"/>
        <v>5.4288552489837669E+43</v>
      </c>
    </row>
    <row r="31" spans="1:30" x14ac:dyDescent="0.35">
      <c r="A31" s="90" t="s">
        <v>60</v>
      </c>
      <c r="B31" s="75"/>
      <c r="C31" s="75"/>
      <c r="D31" s="75">
        <v>3.0000000000000001E-6</v>
      </c>
      <c r="E31" s="73">
        <v>3.0000000000000001E-6</v>
      </c>
      <c r="F31" s="73">
        <v>6371</v>
      </c>
      <c r="G31" s="74">
        <f t="shared" si="19"/>
        <v>4.7088369172814318E-10</v>
      </c>
      <c r="H31" s="75">
        <f t="shared" si="14"/>
        <v>6.9502432899073936E-10</v>
      </c>
      <c r="I31" s="75">
        <f t="shared" si="15"/>
        <v>1.9086564145774215E+26</v>
      </c>
      <c r="J31" s="73">
        <v>1</v>
      </c>
      <c r="K31" s="75">
        <f t="shared" si="16"/>
        <v>2123666666.6666665</v>
      </c>
      <c r="L31" s="73">
        <f t="shared" si="0"/>
        <v>0.99999999860932065</v>
      </c>
      <c r="M31" s="75">
        <f t="shared" si="1"/>
        <v>0.99999999860932065</v>
      </c>
      <c r="N31" s="73">
        <f t="shared" si="2"/>
        <v>715.84269563370583</v>
      </c>
      <c r="O31" s="73">
        <f t="shared" si="3"/>
        <v>3.3707865168539325E-7</v>
      </c>
      <c r="P31" s="73">
        <f t="shared" si="4"/>
        <v>715.8426952966272</v>
      </c>
      <c r="Q31" s="75">
        <f>'[1]Mass Min'!M28</f>
        <v>715.8426952966272</v>
      </c>
      <c r="R31" s="73">
        <f>'[1]Mass Max'!M28</f>
        <v>715.8426952966272</v>
      </c>
      <c r="S31" s="73">
        <f t="shared" si="5"/>
        <v>9.8091372532710999</v>
      </c>
      <c r="T31" s="73">
        <f t="shared" si="6"/>
        <v>649496.46798707324</v>
      </c>
      <c r="U31" s="73">
        <f t="shared" si="7"/>
        <v>3.729181346024573E-5</v>
      </c>
      <c r="V31" s="73">
        <f t="shared" si="17"/>
        <v>479599518.21740437</v>
      </c>
      <c r="W31" s="73">
        <f t="shared" si="8"/>
        <v>6.9533967557688238E-10</v>
      </c>
      <c r="X31" s="76">
        <f t="shared" si="18"/>
        <v>0.9916308113941571</v>
      </c>
      <c r="Y31" s="73" t="s">
        <v>52</v>
      </c>
      <c r="Z31" s="77" t="str">
        <f t="shared" si="9"/>
        <v>Fully visible</v>
      </c>
      <c r="AA31" s="77" t="str">
        <f t="shared" si="10"/>
        <v>Fully visible</v>
      </c>
      <c r="AB31" s="73" t="str">
        <f t="shared" si="11"/>
        <v>Fully visible</v>
      </c>
      <c r="AC31" s="78">
        <f t="shared" si="12"/>
        <v>5.3639999999999998E+41</v>
      </c>
      <c r="AD31" s="78">
        <f t="shared" si="13"/>
        <v>3.7280241271863104E+32</v>
      </c>
    </row>
    <row r="32" spans="1:30" x14ac:dyDescent="0.35">
      <c r="A32" s="90" t="s">
        <v>61</v>
      </c>
      <c r="B32" s="75"/>
      <c r="C32" s="75"/>
      <c r="D32" s="75">
        <v>0.33</v>
      </c>
      <c r="E32" s="73">
        <v>0.33</v>
      </c>
      <c r="F32" s="73">
        <v>45000</v>
      </c>
      <c r="G32" s="74">
        <f t="shared" si="19"/>
        <v>7.333333333333334E-6</v>
      </c>
      <c r="H32" s="75">
        <f t="shared" si="14"/>
        <v>1.0824E-5</v>
      </c>
      <c r="I32" s="75">
        <f t="shared" si="15"/>
        <v>1.225575243732024E+22</v>
      </c>
      <c r="J32" s="73">
        <v>0.8</v>
      </c>
      <c r="K32" s="75">
        <f t="shared" si="16"/>
        <v>109090.90909090909</v>
      </c>
      <c r="L32" s="73">
        <f t="shared" si="0"/>
        <v>0.99997834217786485</v>
      </c>
      <c r="M32" s="75">
        <f t="shared" si="1"/>
        <v>0.79998267374229193</v>
      </c>
      <c r="N32" s="73">
        <f t="shared" si="2"/>
        <v>4044.8562155509144</v>
      </c>
      <c r="O32" s="73">
        <f t="shared" si="3"/>
        <v>3.707865168539326E-2</v>
      </c>
      <c r="P32" s="73">
        <f t="shared" si="4"/>
        <v>4044.8191368992289</v>
      </c>
      <c r="Q32" s="75">
        <f>'[1]Mass Min'!M29</f>
        <v>4044.8191368992289</v>
      </c>
      <c r="R32" s="73">
        <f>'[1]Mass Max'!M29</f>
        <v>4044.8191368992289</v>
      </c>
      <c r="S32" s="73">
        <f t="shared" si="5"/>
        <v>21627.866449037036</v>
      </c>
      <c r="T32" s="73">
        <f t="shared" si="6"/>
        <v>2080.6490601389669</v>
      </c>
      <c r="U32" s="73">
        <f t="shared" si="7"/>
        <v>4.6537965291960403E-3</v>
      </c>
      <c r="V32" s="73">
        <f t="shared" si="17"/>
        <v>30795.762503079575</v>
      </c>
      <c r="W32" s="73">
        <f t="shared" si="8"/>
        <v>1.0828911067578554E-5</v>
      </c>
      <c r="X32" s="76">
        <f t="shared" si="18"/>
        <v>4.3350136791657778</v>
      </c>
      <c r="Y32" s="73" t="s">
        <v>52</v>
      </c>
      <c r="Z32" s="77" t="str">
        <f t="shared" si="9"/>
        <v>Fully visible</v>
      </c>
      <c r="AA32" s="77" t="str">
        <f t="shared" si="10"/>
        <v>Fully visible</v>
      </c>
      <c r="AB32" s="73" t="str">
        <f t="shared" si="11"/>
        <v>Fully visible</v>
      </c>
      <c r="AC32" s="78">
        <f t="shared" si="12"/>
        <v>5.9004000000000004E+46</v>
      </c>
      <c r="AD32" s="78">
        <f t="shared" si="13"/>
        <v>6.3864449942906259E+41</v>
      </c>
    </row>
    <row r="33" spans="1:30" x14ac:dyDescent="0.35">
      <c r="A33" s="90" t="s">
        <v>62</v>
      </c>
      <c r="B33" s="75"/>
      <c r="C33" s="75"/>
      <c r="D33" s="75">
        <v>9.5E-4</v>
      </c>
      <c r="E33" s="73">
        <v>9.5E-4</v>
      </c>
      <c r="F33" s="73">
        <v>69911</v>
      </c>
      <c r="G33" s="74">
        <f t="shared" si="19"/>
        <v>1.3588705640028036E-8</v>
      </c>
      <c r="H33" s="75">
        <f t="shared" si="14"/>
        <v>2.005692952468138E-8</v>
      </c>
      <c r="I33" s="75">
        <f t="shared" si="15"/>
        <v>6.6139866632283846E+24</v>
      </c>
      <c r="J33" s="73">
        <v>0.7</v>
      </c>
      <c r="K33" s="75">
        <f t="shared" si="16"/>
        <v>51513368.421052627</v>
      </c>
      <c r="L33" s="73">
        <f t="shared" si="0"/>
        <v>0.99999995986794044</v>
      </c>
      <c r="M33" s="75">
        <f t="shared" si="1"/>
        <v>0.69999997190755825</v>
      </c>
      <c r="N33" s="73">
        <f t="shared" si="2"/>
        <v>5498.6177568572248</v>
      </c>
      <c r="O33" s="73">
        <f t="shared" si="3"/>
        <v>1.0674157303370786E-4</v>
      </c>
      <c r="P33" s="73">
        <f t="shared" si="4"/>
        <v>5498.6176501156515</v>
      </c>
      <c r="Q33" s="75">
        <f>'[1]Mass Min'!M30</f>
        <v>5498.6176501156515</v>
      </c>
      <c r="R33" s="73">
        <f>'[1]Mass Max'!M30</f>
        <v>5498.6176501156515</v>
      </c>
      <c r="S33" s="73">
        <f t="shared" si="5"/>
        <v>25.796295522296116</v>
      </c>
      <c r="T33" s="73">
        <f t="shared" si="6"/>
        <v>2710117.8128299429</v>
      </c>
      <c r="U33" s="73">
        <f t="shared" si="7"/>
        <v>2.0032987674835001E-4</v>
      </c>
      <c r="V33" s="73">
        <f t="shared" si="17"/>
        <v>16619360.053249657</v>
      </c>
      <c r="W33" s="73">
        <f t="shared" si="8"/>
        <v>2.0066029759004554E-8</v>
      </c>
      <c r="X33" s="76">
        <f t="shared" si="18"/>
        <v>1.4115573435702866</v>
      </c>
      <c r="Y33" s="73" t="s">
        <v>52</v>
      </c>
      <c r="Z33" s="77" t="str">
        <f t="shared" si="9"/>
        <v>Fully visible</v>
      </c>
      <c r="AA33" s="77" t="str">
        <f t="shared" si="10"/>
        <v>Fully visible</v>
      </c>
      <c r="AB33" s="73" t="str">
        <f t="shared" si="11"/>
        <v>Fully visible</v>
      </c>
      <c r="AC33" s="78">
        <f t="shared" si="12"/>
        <v>1.6986E+44</v>
      </c>
      <c r="AD33" s="78">
        <f t="shared" si="13"/>
        <v>3.4067911180976675E+36</v>
      </c>
    </row>
    <row r="34" spans="1:30" x14ac:dyDescent="0.35">
      <c r="A34" s="90" t="s">
        <v>63</v>
      </c>
      <c r="B34" s="75"/>
      <c r="C34" s="75"/>
      <c r="D34" s="75">
        <v>6.9500000000000006E-2</v>
      </c>
      <c r="E34" s="73">
        <v>6.9500000000000006E-2</v>
      </c>
      <c r="F34" s="73">
        <v>70000</v>
      </c>
      <c r="G34" s="74">
        <f t="shared" si="19"/>
        <v>9.9285714285714294E-7</v>
      </c>
      <c r="H34" s="75">
        <f t="shared" si="14"/>
        <v>1.4654571428571429E-6</v>
      </c>
      <c r="I34" s="75">
        <f t="shared" si="15"/>
        <v>9.052210433320464E+22</v>
      </c>
      <c r="J34" s="73">
        <v>0.7</v>
      </c>
      <c r="K34" s="75">
        <f t="shared" si="16"/>
        <v>705035.97122302151</v>
      </c>
      <c r="L34" s="73">
        <f t="shared" si="0"/>
        <v>0.99999706775589925</v>
      </c>
      <c r="M34" s="75">
        <f t="shared" si="1"/>
        <v>0.69999794742912946</v>
      </c>
      <c r="N34" s="73">
        <f t="shared" si="2"/>
        <v>5505.6018337122541</v>
      </c>
      <c r="O34" s="73">
        <f t="shared" si="3"/>
        <v>7.8089887640449438E-3</v>
      </c>
      <c r="P34" s="73">
        <f t="shared" si="4"/>
        <v>5505.5940247234903</v>
      </c>
      <c r="Q34" s="75">
        <f>'[1]Mass Min'!M31</f>
        <v>5505.5940247234903</v>
      </c>
      <c r="R34" s="73">
        <f>'[1]Mass Max'!M31</f>
        <v>5505.5940247234903</v>
      </c>
      <c r="S34" s="73">
        <f t="shared" si="5"/>
        <v>1882.4068363459182</v>
      </c>
      <c r="T34" s="73">
        <f t="shared" si="6"/>
        <v>37186.435285096115</v>
      </c>
      <c r="U34" s="73">
        <f t="shared" si="7"/>
        <v>1.7123796602291211E-3</v>
      </c>
      <c r="V34" s="73">
        <f t="shared" si="17"/>
        <v>227460.30817622325</v>
      </c>
      <c r="W34" s="73">
        <f t="shared" si="8"/>
        <v>1.4661220503832004E-6</v>
      </c>
      <c r="X34" s="76">
        <f t="shared" si="18"/>
        <v>3.2747134914001776</v>
      </c>
      <c r="Y34" s="73" t="s">
        <v>52</v>
      </c>
      <c r="Z34" s="77" t="str">
        <f t="shared" si="9"/>
        <v>Fully visible</v>
      </c>
      <c r="AA34" s="77" t="str">
        <f t="shared" si="10"/>
        <v>Fully visible</v>
      </c>
      <c r="AB34" s="73" t="str">
        <f t="shared" si="11"/>
        <v>Fully visible</v>
      </c>
      <c r="AC34" s="78">
        <f t="shared" si="12"/>
        <v>1.2426600000000001E+46</v>
      </c>
      <c r="AD34" s="78">
        <f t="shared" si="13"/>
        <v>1.8210227823891559E+40</v>
      </c>
    </row>
    <row r="35" spans="1:30" x14ac:dyDescent="0.35">
      <c r="A35" s="90" t="s">
        <v>64</v>
      </c>
      <c r="B35" s="75"/>
      <c r="C35" s="75"/>
      <c r="D35" s="75">
        <v>1</v>
      </c>
      <c r="E35" s="73">
        <v>1</v>
      </c>
      <c r="F35" s="73">
        <v>696340</v>
      </c>
      <c r="G35" s="74">
        <f t="shared" si="19"/>
        <v>1.436080075825028E-6</v>
      </c>
      <c r="H35" s="75">
        <f t="shared" si="14"/>
        <v>2.1196541919177413E-6</v>
      </c>
      <c r="I35" s="75">
        <f t="shared" si="15"/>
        <v>6.2583918116159558E+22</v>
      </c>
      <c r="J35" s="73">
        <v>0.96</v>
      </c>
      <c r="K35" s="75">
        <f t="shared" si="16"/>
        <v>668486.40000000002</v>
      </c>
      <c r="L35" s="73">
        <f t="shared" si="0"/>
        <v>0.99999575876815627</v>
      </c>
      <c r="M35" s="75">
        <f t="shared" si="1"/>
        <v>0.95999592841742998</v>
      </c>
      <c r="N35" s="73">
        <f t="shared" si="2"/>
        <v>75110.51289822394</v>
      </c>
      <c r="O35" s="73">
        <f t="shared" si="3"/>
        <v>0.11235955056179775</v>
      </c>
      <c r="P35" s="73">
        <f t="shared" si="4"/>
        <v>75110.400538673377</v>
      </c>
      <c r="Q35" s="75">
        <f>'[1]Mass Min'!M32</f>
        <v>75110.400538673377</v>
      </c>
      <c r="R35" s="73">
        <f>'[1]Mass Max'!M32</f>
        <v>75110.400538673377</v>
      </c>
      <c r="S35" s="73">
        <f t="shared" si="5"/>
        <v>273.70458998340689</v>
      </c>
      <c r="T35" s="73">
        <f t="shared" si="6"/>
        <v>2544129.7862129933</v>
      </c>
      <c r="U35" s="73">
        <f t="shared" si="7"/>
        <v>2.0594251245761872E-3</v>
      </c>
      <c r="V35" s="73">
        <f t="shared" si="17"/>
        <v>157258.3559168925</v>
      </c>
      <c r="W35" s="73">
        <f t="shared" si="8"/>
        <v>2.1206159218678218E-6</v>
      </c>
      <c r="X35" s="76">
        <f t="shared" si="18"/>
        <v>2.4372820805221114</v>
      </c>
      <c r="Y35" s="73" t="s">
        <v>52</v>
      </c>
      <c r="Z35" s="77" t="str">
        <f t="shared" si="9"/>
        <v>Fully visible</v>
      </c>
      <c r="AA35" s="77" t="str">
        <f t="shared" si="10"/>
        <v>Fully visible</v>
      </c>
      <c r="AB35" s="73" t="str">
        <f t="shared" si="11"/>
        <v>Fully visible</v>
      </c>
      <c r="AC35" s="78">
        <f t="shared" si="12"/>
        <v>1.788E+47</v>
      </c>
      <c r="AD35" s="78">
        <f t="shared" si="13"/>
        <v>3.7898538891129144E+41</v>
      </c>
    </row>
    <row r="36" spans="1:30" x14ac:dyDescent="0.35">
      <c r="A36" s="90" t="s">
        <v>65</v>
      </c>
      <c r="B36" s="75"/>
      <c r="C36" s="75"/>
      <c r="D36" s="75">
        <v>300</v>
      </c>
      <c r="E36" s="73">
        <v>300</v>
      </c>
      <c r="F36" s="73">
        <v>20000000</v>
      </c>
      <c r="G36" s="74">
        <f t="shared" si="19"/>
        <v>1.5E-5</v>
      </c>
      <c r="H36" s="75">
        <f t="shared" si="14"/>
        <v>2.2140000000000001E-5</v>
      </c>
      <c r="I36" s="75">
        <f t="shared" si="15"/>
        <v>5.9917011915787836E+21</v>
      </c>
      <c r="J36" s="73">
        <v>0.7</v>
      </c>
      <c r="K36" s="75">
        <f t="shared" si="16"/>
        <v>46666.666666666664</v>
      </c>
      <c r="L36" s="73">
        <f t="shared" si="0"/>
        <v>0.99995569990926902</v>
      </c>
      <c r="M36" s="75">
        <f t="shared" si="1"/>
        <v>0.69996898993648826</v>
      </c>
      <c r="N36" s="73">
        <f t="shared" si="2"/>
        <v>1572964.0223291873</v>
      </c>
      <c r="O36" s="73">
        <f t="shared" si="3"/>
        <v>33.707865168539321</v>
      </c>
      <c r="P36" s="73">
        <f t="shared" si="4"/>
        <v>1572930.3144640187</v>
      </c>
      <c r="Q36" s="75">
        <f>'[1]Mass Min'!M33</f>
        <v>1572930.3144640187</v>
      </c>
      <c r="R36" s="73">
        <f>'[1]Mass Max'!M33</f>
        <v>1572930.3144640187</v>
      </c>
      <c r="S36" s="73">
        <f t="shared" si="5"/>
        <v>99.537339907499984</v>
      </c>
      <c r="T36" s="73">
        <f t="shared" si="6"/>
        <v>200929621.17117047</v>
      </c>
      <c r="U36" s="73">
        <f t="shared" si="7"/>
        <v>6.6558313328241104E-3</v>
      </c>
      <c r="V36" s="73">
        <f t="shared" si="17"/>
        <v>15055.706112616681</v>
      </c>
      <c r="W36" s="73">
        <f t="shared" si="8"/>
        <v>2.2150045365501587E-5</v>
      </c>
      <c r="X36" s="76">
        <f t="shared" si="18"/>
        <v>1.9979860302302774</v>
      </c>
      <c r="Y36" s="73" t="s">
        <v>52</v>
      </c>
      <c r="Z36" s="77" t="str">
        <f t="shared" si="9"/>
        <v>Fully visible</v>
      </c>
      <c r="AA36" s="77" t="str">
        <f t="shared" si="10"/>
        <v>Fully visible</v>
      </c>
      <c r="AB36" s="73" t="str">
        <f t="shared" si="11"/>
        <v>Fully visible</v>
      </c>
      <c r="AC36" s="78">
        <f t="shared" si="12"/>
        <v>5.3640000000000005E+49</v>
      </c>
      <c r="AD36" s="78">
        <f t="shared" si="13"/>
        <v>1.1875620857151991E+45</v>
      </c>
    </row>
    <row r="37" spans="1:30" x14ac:dyDescent="0.35">
      <c r="A37" s="90" t="s">
        <v>66</v>
      </c>
      <c r="B37" s="75"/>
      <c r="C37" s="75"/>
      <c r="D37" s="75">
        <v>17</v>
      </c>
      <c r="E37" s="73">
        <v>17</v>
      </c>
      <c r="F37" s="73">
        <v>600000000</v>
      </c>
      <c r="G37" s="74">
        <f t="shared" si="19"/>
        <v>2.8333333333333332E-8</v>
      </c>
      <c r="H37" s="75">
        <f t="shared" si="14"/>
        <v>4.182E-8</v>
      </c>
      <c r="I37" s="75">
        <f t="shared" si="15"/>
        <v>3.1720771014240622E+24</v>
      </c>
      <c r="J37" s="73">
        <v>0.7</v>
      </c>
      <c r="K37" s="75">
        <f t="shared" si="16"/>
        <v>24705882.352941174</v>
      </c>
      <c r="L37" s="73">
        <f t="shared" si="0"/>
        <v>0.99999991632205087</v>
      </c>
      <c r="M37" s="75">
        <f t="shared" si="1"/>
        <v>0.69999994142543553</v>
      </c>
      <c r="N37" s="73">
        <f t="shared" si="2"/>
        <v>47191007.287108012</v>
      </c>
      <c r="O37" s="73">
        <f t="shared" si="3"/>
        <v>1.9101123595505618</v>
      </c>
      <c r="P37" s="73">
        <f t="shared" si="4"/>
        <v>47191005.376995653</v>
      </c>
      <c r="Q37" s="75">
        <f>'[1]Mass Min'!M34</f>
        <v>47191005.376995653</v>
      </c>
      <c r="R37" s="73">
        <f>'[1]Mass Max'!M34</f>
        <v>47191005.376995653</v>
      </c>
      <c r="S37" s="73">
        <f t="shared" si="5"/>
        <v>6.2671658460277772E-3</v>
      </c>
      <c r="T37" s="73">
        <f t="shared" si="6"/>
        <v>95737054793322.391</v>
      </c>
      <c r="U37" s="73">
        <f t="shared" si="7"/>
        <v>2.8927141089046728E-4</v>
      </c>
      <c r="V37" s="73">
        <f t="shared" si="17"/>
        <v>7970667.9419735381</v>
      </c>
      <c r="W37" s="73">
        <f t="shared" si="8"/>
        <v>4.183897457928077E-8</v>
      </c>
      <c r="X37" s="76">
        <f t="shared" si="18"/>
        <v>-2.2029288125504358</v>
      </c>
      <c r="Y37" s="73" t="s">
        <v>52</v>
      </c>
      <c r="Z37" s="77" t="str">
        <f t="shared" si="9"/>
        <v>Fully visible</v>
      </c>
      <c r="AA37" s="77" t="str">
        <f t="shared" si="10"/>
        <v>Fully visible</v>
      </c>
      <c r="AB37" s="73" t="str">
        <f t="shared" si="11"/>
        <v>Fully visible</v>
      </c>
      <c r="AC37" s="78">
        <f t="shared" si="12"/>
        <v>3.0396000000000002E+48</v>
      </c>
      <c r="AD37" s="78">
        <f t="shared" si="13"/>
        <v>1.2711312695247871E+41</v>
      </c>
    </row>
    <row r="38" spans="1:30" x14ac:dyDescent="0.35">
      <c r="A38" s="91" t="s">
        <v>67</v>
      </c>
      <c r="B38" s="92"/>
      <c r="C38" s="92"/>
      <c r="D38" s="92">
        <v>20</v>
      </c>
      <c r="E38" s="73">
        <v>20</v>
      </c>
      <c r="F38" s="73">
        <v>1000000000</v>
      </c>
      <c r="G38" s="74">
        <f t="shared" si="19"/>
        <v>2E-8</v>
      </c>
      <c r="H38" s="75">
        <f t="shared" si="14"/>
        <v>2.9519999999999999E-8</v>
      </c>
      <c r="I38" s="75">
        <f t="shared" si="15"/>
        <v>4.4937758936840878E+24</v>
      </c>
      <c r="J38" s="93">
        <v>0.7</v>
      </c>
      <c r="K38" s="92">
        <f t="shared" si="16"/>
        <v>35000000</v>
      </c>
      <c r="L38" s="73">
        <f t="shared" si="0"/>
        <v>0.99999994093321232</v>
      </c>
      <c r="M38" s="75">
        <f t="shared" si="1"/>
        <v>0.6999999586532486</v>
      </c>
      <c r="N38" s="73">
        <f t="shared" si="2"/>
        <v>78651680.747556016</v>
      </c>
      <c r="O38" s="93">
        <f t="shared" si="3"/>
        <v>2.2471910112359548</v>
      </c>
      <c r="P38" s="93">
        <f t="shared" si="4"/>
        <v>78651678.500365004</v>
      </c>
      <c r="Q38" s="75">
        <f>'[1]Mass Min'!M35</f>
        <v>78651678.500365004</v>
      </c>
      <c r="R38" s="73">
        <f>'[1]Mass Max'!M35</f>
        <v>78651678.500365004</v>
      </c>
      <c r="S38" s="73">
        <f t="shared" si="5"/>
        <v>2.6543290641999999E-3</v>
      </c>
      <c r="T38" s="73">
        <f t="shared" si="6"/>
        <v>376743039695944.56</v>
      </c>
      <c r="U38" s="73">
        <f t="shared" si="7"/>
        <v>2.4303659732916266E-4</v>
      </c>
      <c r="V38" s="73">
        <f t="shared" si="17"/>
        <v>11291779.58446251</v>
      </c>
      <c r="W38" s="73">
        <f t="shared" si="8"/>
        <v>2.9533393820668782E-8</v>
      </c>
      <c r="X38" s="76">
        <f t="shared" si="18"/>
        <v>-2.5760452374974414</v>
      </c>
      <c r="Y38" s="73" t="s">
        <v>52</v>
      </c>
      <c r="Z38" s="77" t="str">
        <f t="shared" si="9"/>
        <v>Fully visible</v>
      </c>
      <c r="AA38" s="77" t="str">
        <f t="shared" si="10"/>
        <v>Fully visible</v>
      </c>
      <c r="AB38" s="73" t="str">
        <f t="shared" si="11"/>
        <v>Fully visible</v>
      </c>
      <c r="AC38" s="78">
        <f t="shared" si="12"/>
        <v>3.5759999999999998E+48</v>
      </c>
      <c r="AD38" s="78">
        <f t="shared" si="13"/>
        <v>1.0556107428579549E+41</v>
      </c>
    </row>
    <row r="39" spans="1:30" ht="15" thickBot="1" x14ac:dyDescent="0.4">
      <c r="A39" s="94" t="s">
        <v>68</v>
      </c>
      <c r="B39" s="95"/>
      <c r="C39" s="95"/>
      <c r="D39" s="95">
        <v>25</v>
      </c>
      <c r="E39" s="82">
        <v>25</v>
      </c>
      <c r="F39" s="82">
        <v>1900000000</v>
      </c>
      <c r="G39" s="83">
        <f t="shared" si="19"/>
        <v>1.3157894736842106E-8</v>
      </c>
      <c r="H39" s="84">
        <f t="shared" si="14"/>
        <v>1.9421052631578949E-8</v>
      </c>
      <c r="I39" s="84">
        <f t="shared" si="15"/>
        <v>6.8305393583998134E+24</v>
      </c>
      <c r="J39" s="96">
        <v>0.7</v>
      </c>
      <c r="K39" s="95">
        <f t="shared" si="16"/>
        <v>53199999.999999993</v>
      </c>
      <c r="L39" s="82">
        <f t="shared" si="0"/>
        <v>0.99999996114027134</v>
      </c>
      <c r="M39" s="84">
        <f t="shared" si="1"/>
        <v>0.69999997279818993</v>
      </c>
      <c r="N39" s="82">
        <f t="shared" si="2"/>
        <v>149438196.44006303</v>
      </c>
      <c r="O39" s="96">
        <f t="shared" si="3"/>
        <v>2.8089887640449436</v>
      </c>
      <c r="P39" s="96">
        <f t="shared" si="4"/>
        <v>149438193.63107428</v>
      </c>
      <c r="Q39" s="84">
        <f>'[1]Mass Min'!M36</f>
        <v>149438193.63107428</v>
      </c>
      <c r="R39" s="82">
        <f>'[1]Mass Max'!M36</f>
        <v>149438193.63107428</v>
      </c>
      <c r="S39" s="82">
        <f t="shared" si="5"/>
        <v>9.1908901114958418E-4</v>
      </c>
      <c r="T39" s="82">
        <f t="shared" si="6"/>
        <v>2067264407419587.7</v>
      </c>
      <c r="U39" s="82">
        <f t="shared" si="7"/>
        <v>1.9712871102760827E-4</v>
      </c>
      <c r="V39" s="82">
        <f t="shared" si="17"/>
        <v>17163504.968383018</v>
      </c>
      <c r="W39" s="82">
        <f t="shared" si="8"/>
        <v>1.9429864355703144E-8</v>
      </c>
      <c r="X39" s="85">
        <f t="shared" si="18"/>
        <v>-3.0366424263950429</v>
      </c>
      <c r="Y39" s="82" t="s">
        <v>52</v>
      </c>
      <c r="Z39" s="86" t="str">
        <f t="shared" si="9"/>
        <v>Fully visible</v>
      </c>
      <c r="AA39" s="86" t="str">
        <f t="shared" si="10"/>
        <v>Fully visible</v>
      </c>
      <c r="AB39" s="82" t="str">
        <f t="shared" si="11"/>
        <v>Fully visible</v>
      </c>
      <c r="AC39" s="87">
        <f t="shared" si="12"/>
        <v>4.4699999999999997E+48</v>
      </c>
      <c r="AD39" s="87">
        <f t="shared" si="13"/>
        <v>8.6810093985029146E+40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Borges</dc:creator>
  <cp:lastModifiedBy>Pedro Borges</cp:lastModifiedBy>
  <dcterms:created xsi:type="dcterms:W3CDTF">2026-03-07T20:12:01Z</dcterms:created>
  <dcterms:modified xsi:type="dcterms:W3CDTF">2026-03-07T20:25:59Z</dcterms:modified>
</cp:coreProperties>
</file>