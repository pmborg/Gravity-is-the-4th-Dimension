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0" yWindow="20" windowWidth="26620" windowHeight="18160" activeTab="1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AB97" i="2" l="1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B2" i="2"/>
  <c r="W23" i="2" l="1"/>
  <c r="Z23" i="2" s="1"/>
  <c r="V23" i="2"/>
  <c r="AA23" i="2" s="1"/>
  <c r="U23" i="2"/>
  <c r="O23" i="2"/>
  <c r="L23" i="2"/>
  <c r="M23" i="2" s="1"/>
  <c r="N23" i="2" s="1"/>
  <c r="G23" i="2"/>
  <c r="H23" i="2" s="1"/>
  <c r="W78" i="2"/>
  <c r="Z78" i="2" s="1"/>
  <c r="V78" i="2"/>
  <c r="AA78" i="2" s="1"/>
  <c r="U78" i="2"/>
  <c r="O78" i="2"/>
  <c r="L78" i="2"/>
  <c r="M78" i="2" s="1"/>
  <c r="N78" i="2" s="1"/>
  <c r="P78" i="2" s="1"/>
  <c r="G78" i="2"/>
  <c r="K78" i="2" s="1"/>
  <c r="W82" i="2"/>
  <c r="Z82" i="2" s="1"/>
  <c r="V82" i="2"/>
  <c r="AA82" i="2" s="1"/>
  <c r="U82" i="2"/>
  <c r="O82" i="2"/>
  <c r="L82" i="2"/>
  <c r="M82" i="2" s="1"/>
  <c r="N82" i="2" s="1"/>
  <c r="G82" i="2"/>
  <c r="K82" i="2" s="1"/>
  <c r="W83" i="2"/>
  <c r="Z83" i="2" s="1"/>
  <c r="V83" i="2"/>
  <c r="AA83" i="2" s="1"/>
  <c r="U83" i="2"/>
  <c r="O83" i="2"/>
  <c r="L83" i="2"/>
  <c r="M83" i="2" s="1"/>
  <c r="N83" i="2" s="1"/>
  <c r="G83" i="2"/>
  <c r="K83" i="2" s="1"/>
  <c r="W13" i="2"/>
  <c r="Z13" i="2" s="1"/>
  <c r="V13" i="2"/>
  <c r="AA13" i="2" s="1"/>
  <c r="U13" i="2"/>
  <c r="O13" i="2"/>
  <c r="L13" i="2"/>
  <c r="M13" i="2" s="1"/>
  <c r="N13" i="2" s="1"/>
  <c r="G13" i="2"/>
  <c r="K13" i="2" s="1"/>
  <c r="W75" i="2"/>
  <c r="Z75" i="2" s="1"/>
  <c r="V75" i="2"/>
  <c r="AA75" i="2" s="1"/>
  <c r="U75" i="2"/>
  <c r="O75" i="2"/>
  <c r="L75" i="2"/>
  <c r="M75" i="2" s="1"/>
  <c r="N75" i="2" s="1"/>
  <c r="G75" i="2"/>
  <c r="K75" i="2" s="1"/>
  <c r="W80" i="2"/>
  <c r="Z80" i="2" s="1"/>
  <c r="V80" i="2"/>
  <c r="AA80" i="2" s="1"/>
  <c r="U80" i="2"/>
  <c r="O80" i="2"/>
  <c r="L80" i="2"/>
  <c r="M80" i="2" s="1"/>
  <c r="N80" i="2" s="1"/>
  <c r="G80" i="2"/>
  <c r="K80" i="2" s="1"/>
  <c r="W81" i="2"/>
  <c r="Z81" i="2" s="1"/>
  <c r="V81" i="2"/>
  <c r="AA81" i="2" s="1"/>
  <c r="U81" i="2"/>
  <c r="O81" i="2"/>
  <c r="L81" i="2"/>
  <c r="M81" i="2" s="1"/>
  <c r="N81" i="2" s="1"/>
  <c r="G81" i="2"/>
  <c r="K81" i="2" s="1"/>
  <c r="W11" i="2"/>
  <c r="Z11" i="2" s="1"/>
  <c r="V11" i="2"/>
  <c r="AA11" i="2" s="1"/>
  <c r="U11" i="2"/>
  <c r="O11" i="2"/>
  <c r="L11" i="2"/>
  <c r="M11" i="2" s="1"/>
  <c r="N11" i="2" s="1"/>
  <c r="G11" i="2"/>
  <c r="K11" i="2" s="1"/>
  <c r="W72" i="2"/>
  <c r="Z72" i="2" s="1"/>
  <c r="V72" i="2"/>
  <c r="AA72" i="2" s="1"/>
  <c r="U72" i="2"/>
  <c r="O72" i="2"/>
  <c r="L72" i="2"/>
  <c r="M72" i="2" s="1"/>
  <c r="N72" i="2" s="1"/>
  <c r="P72" i="2" s="1"/>
  <c r="G72" i="2"/>
  <c r="K72" i="2" s="1"/>
  <c r="W77" i="2"/>
  <c r="Z77" i="2" s="1"/>
  <c r="V77" i="2"/>
  <c r="AA77" i="2" s="1"/>
  <c r="U77" i="2"/>
  <c r="O77" i="2"/>
  <c r="L77" i="2"/>
  <c r="M77" i="2" s="1"/>
  <c r="N77" i="2" s="1"/>
  <c r="G77" i="2"/>
  <c r="K77" i="2" s="1"/>
  <c r="W79" i="2"/>
  <c r="Z79" i="2" s="1"/>
  <c r="V79" i="2"/>
  <c r="AA79" i="2" s="1"/>
  <c r="U79" i="2"/>
  <c r="O79" i="2"/>
  <c r="L79" i="2"/>
  <c r="M79" i="2" s="1"/>
  <c r="N79" i="2" s="1"/>
  <c r="G79" i="2"/>
  <c r="K79" i="2" s="1"/>
  <c r="W10" i="2"/>
  <c r="Z10" i="2" s="1"/>
  <c r="V10" i="2"/>
  <c r="AA10" i="2" s="1"/>
  <c r="U10" i="2"/>
  <c r="O10" i="2"/>
  <c r="L10" i="2"/>
  <c r="M10" i="2" s="1"/>
  <c r="N10" i="2" s="1"/>
  <c r="P10" i="2" s="1"/>
  <c r="G10" i="2"/>
  <c r="I10" i="2" s="1"/>
  <c r="W60" i="2"/>
  <c r="Z60" i="2" s="1"/>
  <c r="V60" i="2"/>
  <c r="AA60" i="2" s="1"/>
  <c r="U60" i="2"/>
  <c r="O60" i="2"/>
  <c r="L60" i="2"/>
  <c r="M60" i="2" s="1"/>
  <c r="N60" i="2" s="1"/>
  <c r="P60" i="2" s="1"/>
  <c r="G60" i="2"/>
  <c r="I60" i="2" s="1"/>
  <c r="W74" i="2"/>
  <c r="Z74" i="2" s="1"/>
  <c r="V74" i="2"/>
  <c r="AA74" i="2" s="1"/>
  <c r="U74" i="2"/>
  <c r="O74" i="2"/>
  <c r="L74" i="2"/>
  <c r="M74" i="2" s="1"/>
  <c r="N74" i="2" s="1"/>
  <c r="P74" i="2" s="1"/>
  <c r="G74" i="2"/>
  <c r="K74" i="2" s="1"/>
  <c r="W76" i="2"/>
  <c r="Z76" i="2" s="1"/>
  <c r="V76" i="2"/>
  <c r="AA76" i="2" s="1"/>
  <c r="U76" i="2"/>
  <c r="O76" i="2"/>
  <c r="L76" i="2"/>
  <c r="M76" i="2" s="1"/>
  <c r="N76" i="2" s="1"/>
  <c r="G76" i="2"/>
  <c r="K76" i="2" s="1"/>
  <c r="W9" i="2"/>
  <c r="Z9" i="2" s="1"/>
  <c r="V9" i="2"/>
  <c r="AA9" i="2" s="1"/>
  <c r="U9" i="2"/>
  <c r="O9" i="2"/>
  <c r="L9" i="2"/>
  <c r="M9" i="2" s="1"/>
  <c r="N9" i="2" s="1"/>
  <c r="G9" i="2"/>
  <c r="I9" i="2" s="1"/>
  <c r="W46" i="2"/>
  <c r="Z46" i="2" s="1"/>
  <c r="V46" i="2"/>
  <c r="AA46" i="2" s="1"/>
  <c r="U46" i="2"/>
  <c r="O46" i="2"/>
  <c r="L46" i="2"/>
  <c r="M46" i="2" s="1"/>
  <c r="N46" i="2" s="1"/>
  <c r="G46" i="2"/>
  <c r="H46" i="2" s="1"/>
  <c r="W62" i="2"/>
  <c r="Z62" i="2" s="1"/>
  <c r="V62" i="2"/>
  <c r="AA62" i="2" s="1"/>
  <c r="U62" i="2"/>
  <c r="O62" i="2"/>
  <c r="L62" i="2"/>
  <c r="M62" i="2" s="1"/>
  <c r="N62" i="2" s="1"/>
  <c r="G62" i="2"/>
  <c r="H62" i="2" s="1"/>
  <c r="W73" i="2"/>
  <c r="Z73" i="2" s="1"/>
  <c r="V73" i="2"/>
  <c r="AA73" i="2" s="1"/>
  <c r="U73" i="2"/>
  <c r="O73" i="2"/>
  <c r="L73" i="2"/>
  <c r="M73" i="2" s="1"/>
  <c r="N73" i="2" s="1"/>
  <c r="G73" i="2"/>
  <c r="K73" i="2" s="1"/>
  <c r="W8" i="2"/>
  <c r="Z8" i="2" s="1"/>
  <c r="V8" i="2"/>
  <c r="AA8" i="2" s="1"/>
  <c r="U8" i="2"/>
  <c r="O8" i="2"/>
  <c r="L8" i="2"/>
  <c r="M8" i="2" s="1"/>
  <c r="N8" i="2" s="1"/>
  <c r="G8" i="2"/>
  <c r="I8" i="2" s="1"/>
  <c r="AA30" i="2"/>
  <c r="W30" i="2"/>
  <c r="Z30" i="2" s="1"/>
  <c r="V30" i="2"/>
  <c r="U30" i="2"/>
  <c r="O30" i="2"/>
  <c r="L30" i="2"/>
  <c r="M30" i="2" s="1"/>
  <c r="N30" i="2" s="1"/>
  <c r="G30" i="2"/>
  <c r="K30" i="2" s="1"/>
  <c r="W49" i="2"/>
  <c r="Z49" i="2" s="1"/>
  <c r="V49" i="2"/>
  <c r="AA49" i="2" s="1"/>
  <c r="U49" i="2"/>
  <c r="O49" i="2"/>
  <c r="L49" i="2"/>
  <c r="M49" i="2" s="1"/>
  <c r="N49" i="2" s="1"/>
  <c r="G49" i="2"/>
  <c r="K49" i="2" s="1"/>
  <c r="W64" i="2"/>
  <c r="Z64" i="2" s="1"/>
  <c r="V64" i="2"/>
  <c r="AA64" i="2" s="1"/>
  <c r="U64" i="2"/>
  <c r="O64" i="2"/>
  <c r="L64" i="2"/>
  <c r="M64" i="2" s="1"/>
  <c r="N64" i="2" s="1"/>
  <c r="G64" i="2"/>
  <c r="K64" i="2" s="1"/>
  <c r="W7" i="2"/>
  <c r="Z7" i="2" s="1"/>
  <c r="V7" i="2"/>
  <c r="AA7" i="2" s="1"/>
  <c r="U7" i="2"/>
  <c r="O7" i="2"/>
  <c r="L7" i="2"/>
  <c r="M7" i="2" s="1"/>
  <c r="N7" i="2" s="1"/>
  <c r="G7" i="2"/>
  <c r="H7" i="2" s="1"/>
  <c r="W14" i="2"/>
  <c r="Z14" i="2" s="1"/>
  <c r="V14" i="2"/>
  <c r="AA14" i="2" s="1"/>
  <c r="U14" i="2"/>
  <c r="O14" i="2"/>
  <c r="L14" i="2"/>
  <c r="M14" i="2" s="1"/>
  <c r="N14" i="2" s="1"/>
  <c r="G14" i="2"/>
  <c r="I14" i="2" s="1"/>
  <c r="W45" i="2"/>
  <c r="Z45" i="2" s="1"/>
  <c r="V45" i="2"/>
  <c r="AA45" i="2" s="1"/>
  <c r="U45" i="2"/>
  <c r="O45" i="2"/>
  <c r="L45" i="2"/>
  <c r="M45" i="2" s="1"/>
  <c r="N45" i="2" s="1"/>
  <c r="G45" i="2"/>
  <c r="K45" i="2" s="1"/>
  <c r="W56" i="2"/>
  <c r="Z56" i="2" s="1"/>
  <c r="V56" i="2"/>
  <c r="AA56" i="2" s="1"/>
  <c r="U56" i="2"/>
  <c r="O56" i="2"/>
  <c r="L56" i="2"/>
  <c r="M56" i="2" s="1"/>
  <c r="N56" i="2" s="1"/>
  <c r="G56" i="2"/>
  <c r="K56" i="2" s="1"/>
  <c r="W27" i="2"/>
  <c r="Z27" i="2" s="1"/>
  <c r="V27" i="2"/>
  <c r="AA27" i="2" s="1"/>
  <c r="U27" i="2"/>
  <c r="O27" i="2"/>
  <c r="L27" i="2"/>
  <c r="M27" i="2" s="1"/>
  <c r="N27" i="2" s="1"/>
  <c r="G27" i="2"/>
  <c r="K27" i="2" s="1"/>
  <c r="W25" i="2"/>
  <c r="Z25" i="2" s="1"/>
  <c r="V25" i="2"/>
  <c r="AA25" i="2" s="1"/>
  <c r="U25" i="2"/>
  <c r="O25" i="2"/>
  <c r="L25" i="2"/>
  <c r="M25" i="2" s="1"/>
  <c r="N25" i="2" s="1"/>
  <c r="G25" i="2"/>
  <c r="H25" i="2" s="1"/>
  <c r="W16" i="2"/>
  <c r="Z16" i="2" s="1"/>
  <c r="V16" i="2"/>
  <c r="AA16" i="2" s="1"/>
  <c r="U16" i="2"/>
  <c r="O16" i="2"/>
  <c r="L16" i="2"/>
  <c r="M16" i="2" s="1"/>
  <c r="N16" i="2" s="1"/>
  <c r="G16" i="2"/>
  <c r="H16" i="2" s="1"/>
  <c r="W31" i="2"/>
  <c r="Z31" i="2" s="1"/>
  <c r="V31" i="2"/>
  <c r="AA31" i="2" s="1"/>
  <c r="U31" i="2"/>
  <c r="O31" i="2"/>
  <c r="L31" i="2"/>
  <c r="M31" i="2" s="1"/>
  <c r="N31" i="2" s="1"/>
  <c r="G31" i="2"/>
  <c r="K31" i="2" s="1"/>
  <c r="W28" i="2"/>
  <c r="Z28" i="2" s="1"/>
  <c r="V28" i="2"/>
  <c r="AA28" i="2" s="1"/>
  <c r="U28" i="2"/>
  <c r="O28" i="2"/>
  <c r="L28" i="2"/>
  <c r="M28" i="2" s="1"/>
  <c r="N28" i="2" s="1"/>
  <c r="G28" i="2"/>
  <c r="K28" i="2" s="1"/>
  <c r="W26" i="2"/>
  <c r="Z26" i="2" s="1"/>
  <c r="V26" i="2"/>
  <c r="AA26" i="2" s="1"/>
  <c r="U26" i="2"/>
  <c r="O26" i="2"/>
  <c r="L26" i="2"/>
  <c r="M26" i="2" s="1"/>
  <c r="N26" i="2" s="1"/>
  <c r="G26" i="2"/>
  <c r="I26" i="2" s="1"/>
  <c r="W34" i="2"/>
  <c r="Z34" i="2" s="1"/>
  <c r="V34" i="2"/>
  <c r="AA34" i="2" s="1"/>
  <c r="U34" i="2"/>
  <c r="O34" i="2"/>
  <c r="L34" i="2"/>
  <c r="M34" i="2" s="1"/>
  <c r="N34" i="2" s="1"/>
  <c r="G34" i="2"/>
  <c r="K34" i="2" s="1"/>
  <c r="W32" i="2"/>
  <c r="Z32" i="2" s="1"/>
  <c r="V32" i="2"/>
  <c r="AA32" i="2" s="1"/>
  <c r="U32" i="2"/>
  <c r="O32" i="2"/>
  <c r="L32" i="2"/>
  <c r="M32" i="2" s="1"/>
  <c r="N32" i="2" s="1"/>
  <c r="P32" i="2" s="1"/>
  <c r="G32" i="2"/>
  <c r="H32" i="2" s="1"/>
  <c r="W29" i="2"/>
  <c r="Z29" i="2" s="1"/>
  <c r="V29" i="2"/>
  <c r="AA29" i="2" s="1"/>
  <c r="U29" i="2"/>
  <c r="O29" i="2"/>
  <c r="L29" i="2"/>
  <c r="M29" i="2" s="1"/>
  <c r="N29" i="2" s="1"/>
  <c r="G29" i="2"/>
  <c r="K29" i="2" s="1"/>
  <c r="W41" i="2"/>
  <c r="Z41" i="2" s="1"/>
  <c r="V41" i="2"/>
  <c r="AA41" i="2" s="1"/>
  <c r="U41" i="2"/>
  <c r="O41" i="2"/>
  <c r="L41" i="2"/>
  <c r="M41" i="2" s="1"/>
  <c r="N41" i="2" s="1"/>
  <c r="G41" i="2"/>
  <c r="K41" i="2" s="1"/>
  <c r="W35" i="2"/>
  <c r="Z35" i="2" s="1"/>
  <c r="V35" i="2"/>
  <c r="AA35" i="2" s="1"/>
  <c r="U35" i="2"/>
  <c r="O35" i="2"/>
  <c r="L35" i="2"/>
  <c r="M35" i="2" s="1"/>
  <c r="N35" i="2" s="1"/>
  <c r="P35" i="2" s="1"/>
  <c r="G35" i="2"/>
  <c r="K35" i="2" s="1"/>
  <c r="W33" i="2"/>
  <c r="Z33" i="2" s="1"/>
  <c r="V33" i="2"/>
  <c r="AA33" i="2" s="1"/>
  <c r="U33" i="2"/>
  <c r="O33" i="2"/>
  <c r="L33" i="2"/>
  <c r="M33" i="2" s="1"/>
  <c r="N33" i="2" s="1"/>
  <c r="G33" i="2"/>
  <c r="H33" i="2" s="1"/>
  <c r="W44" i="2"/>
  <c r="Z44" i="2" s="1"/>
  <c r="V44" i="2"/>
  <c r="AA44" i="2" s="1"/>
  <c r="U44" i="2"/>
  <c r="O44" i="2"/>
  <c r="L44" i="2"/>
  <c r="M44" i="2" s="1"/>
  <c r="N44" i="2" s="1"/>
  <c r="G44" i="2"/>
  <c r="K44" i="2" s="1"/>
  <c r="W42" i="2"/>
  <c r="Z42" i="2" s="1"/>
  <c r="V42" i="2"/>
  <c r="AA42" i="2" s="1"/>
  <c r="U42" i="2"/>
  <c r="O42" i="2"/>
  <c r="L42" i="2"/>
  <c r="M42" i="2" s="1"/>
  <c r="N42" i="2" s="1"/>
  <c r="P42" i="2" s="1"/>
  <c r="G42" i="2"/>
  <c r="K42" i="2" s="1"/>
  <c r="W40" i="2"/>
  <c r="Z40" i="2" s="1"/>
  <c r="V40" i="2"/>
  <c r="AA40" i="2" s="1"/>
  <c r="U40" i="2"/>
  <c r="O40" i="2"/>
  <c r="L40" i="2"/>
  <c r="M40" i="2" s="1"/>
  <c r="N40" i="2" s="1"/>
  <c r="G40" i="2"/>
  <c r="K40" i="2" s="1"/>
  <c r="W18" i="2"/>
  <c r="Z18" i="2" s="1"/>
  <c r="V18" i="2"/>
  <c r="AA18" i="2" s="1"/>
  <c r="U18" i="2"/>
  <c r="O18" i="2"/>
  <c r="L18" i="2"/>
  <c r="M18" i="2" s="1"/>
  <c r="N18" i="2" s="1"/>
  <c r="P18" i="2" s="1"/>
  <c r="G18" i="2"/>
  <c r="K18" i="2" s="1"/>
  <c r="W69" i="2"/>
  <c r="Z69" i="2" s="1"/>
  <c r="V69" i="2"/>
  <c r="AA69" i="2" s="1"/>
  <c r="U69" i="2"/>
  <c r="O69" i="2"/>
  <c r="L69" i="2"/>
  <c r="M69" i="2" s="1"/>
  <c r="N69" i="2" s="1"/>
  <c r="G69" i="2"/>
  <c r="I69" i="2" s="1"/>
  <c r="W66" i="2"/>
  <c r="Z66" i="2" s="1"/>
  <c r="V66" i="2"/>
  <c r="AA66" i="2" s="1"/>
  <c r="U66" i="2"/>
  <c r="O66" i="2"/>
  <c r="L66" i="2"/>
  <c r="M66" i="2" s="1"/>
  <c r="N66" i="2" s="1"/>
  <c r="G66" i="2"/>
  <c r="I66" i="2" s="1"/>
  <c r="W68" i="2"/>
  <c r="Z68" i="2" s="1"/>
  <c r="V68" i="2"/>
  <c r="AA68" i="2" s="1"/>
  <c r="U68" i="2"/>
  <c r="O68" i="2"/>
  <c r="L68" i="2"/>
  <c r="M68" i="2" s="1"/>
  <c r="N68" i="2" s="1"/>
  <c r="G68" i="2"/>
  <c r="I68" i="2" s="1"/>
  <c r="W38" i="2"/>
  <c r="Z38" i="2" s="1"/>
  <c r="V38" i="2"/>
  <c r="AA38" i="2" s="1"/>
  <c r="U38" i="2"/>
  <c r="O38" i="2"/>
  <c r="L38" i="2"/>
  <c r="M38" i="2" s="1"/>
  <c r="N38" i="2" s="1"/>
  <c r="G38" i="2"/>
  <c r="I38" i="2" s="1"/>
  <c r="W39" i="2"/>
  <c r="Z39" i="2" s="1"/>
  <c r="V39" i="2"/>
  <c r="AA39" i="2" s="1"/>
  <c r="U39" i="2"/>
  <c r="O39" i="2"/>
  <c r="L39" i="2"/>
  <c r="M39" i="2" s="1"/>
  <c r="N39" i="2" s="1"/>
  <c r="G39" i="2"/>
  <c r="H39" i="2" s="1"/>
  <c r="W37" i="2"/>
  <c r="Z37" i="2" s="1"/>
  <c r="V37" i="2"/>
  <c r="AA37" i="2" s="1"/>
  <c r="U37" i="2"/>
  <c r="O37" i="2"/>
  <c r="L37" i="2"/>
  <c r="M37" i="2" s="1"/>
  <c r="N37" i="2" s="1"/>
  <c r="P37" i="2" s="1"/>
  <c r="G37" i="2"/>
  <c r="I37" i="2" s="1"/>
  <c r="W17" i="2"/>
  <c r="Z17" i="2" s="1"/>
  <c r="V17" i="2"/>
  <c r="AA17" i="2" s="1"/>
  <c r="U17" i="2"/>
  <c r="O17" i="2"/>
  <c r="L17" i="2"/>
  <c r="M17" i="2" s="1"/>
  <c r="N17" i="2" s="1"/>
  <c r="G17" i="2"/>
  <c r="I17" i="2" s="1"/>
  <c r="W19" i="2"/>
  <c r="Z19" i="2" s="1"/>
  <c r="V19" i="2"/>
  <c r="AA19" i="2" s="1"/>
  <c r="U19" i="2"/>
  <c r="O19" i="2"/>
  <c r="L19" i="2"/>
  <c r="M19" i="2" s="1"/>
  <c r="N19" i="2" s="1"/>
  <c r="P19" i="2" s="1"/>
  <c r="G19" i="2"/>
  <c r="H19" i="2" s="1"/>
  <c r="W21" i="2"/>
  <c r="Z21" i="2" s="1"/>
  <c r="V21" i="2"/>
  <c r="AA21" i="2" s="1"/>
  <c r="U21" i="2"/>
  <c r="O21" i="2"/>
  <c r="L21" i="2"/>
  <c r="M21" i="2" s="1"/>
  <c r="N21" i="2" s="1"/>
  <c r="G21" i="2"/>
  <c r="I21" i="2" s="1"/>
  <c r="W22" i="2"/>
  <c r="Z22" i="2" s="1"/>
  <c r="V22" i="2"/>
  <c r="AA22" i="2" s="1"/>
  <c r="U22" i="2"/>
  <c r="O22" i="2"/>
  <c r="L22" i="2"/>
  <c r="M22" i="2" s="1"/>
  <c r="N22" i="2" s="1"/>
  <c r="G22" i="2"/>
  <c r="K22" i="2" s="1"/>
  <c r="W20" i="2"/>
  <c r="Z20" i="2" s="1"/>
  <c r="V20" i="2"/>
  <c r="AA20" i="2" s="1"/>
  <c r="U20" i="2"/>
  <c r="O20" i="2"/>
  <c r="L20" i="2"/>
  <c r="M20" i="2" s="1"/>
  <c r="N20" i="2" s="1"/>
  <c r="P20" i="2" s="1"/>
  <c r="G20" i="2"/>
  <c r="I20" i="2" s="1"/>
  <c r="W24" i="2"/>
  <c r="Z24" i="2" s="1"/>
  <c r="V24" i="2"/>
  <c r="AA24" i="2" s="1"/>
  <c r="U24" i="2"/>
  <c r="O24" i="2"/>
  <c r="L24" i="2"/>
  <c r="M24" i="2" s="1"/>
  <c r="N24" i="2" s="1"/>
  <c r="G24" i="2"/>
  <c r="K24" i="2" s="1"/>
  <c r="W36" i="2"/>
  <c r="Z36" i="2" s="1"/>
  <c r="V36" i="2"/>
  <c r="AA36" i="2" s="1"/>
  <c r="U36" i="2"/>
  <c r="O36" i="2"/>
  <c r="L36" i="2"/>
  <c r="M36" i="2" s="1"/>
  <c r="N36" i="2" s="1"/>
  <c r="G36" i="2"/>
  <c r="I36" i="2" s="1"/>
  <c r="W65" i="2"/>
  <c r="Z65" i="2" s="1"/>
  <c r="V65" i="2"/>
  <c r="AA65" i="2" s="1"/>
  <c r="U65" i="2"/>
  <c r="O65" i="2"/>
  <c r="L65" i="2"/>
  <c r="M65" i="2" s="1"/>
  <c r="N65" i="2" s="1"/>
  <c r="P65" i="2" s="1"/>
  <c r="G65" i="2"/>
  <c r="H65" i="2" s="1"/>
  <c r="AD94" i="2"/>
  <c r="AC94" i="2"/>
  <c r="W94" i="2"/>
  <c r="Z94" i="2" s="1"/>
  <c r="V94" i="2"/>
  <c r="AA94" i="2" s="1"/>
  <c r="U94" i="2"/>
  <c r="S94" i="2"/>
  <c r="T94" i="2" s="1"/>
  <c r="R94" i="2"/>
  <c r="Q94" i="2"/>
  <c r="O94" i="2"/>
  <c r="L94" i="2"/>
  <c r="M94" i="2" s="1"/>
  <c r="N94" i="2" s="1"/>
  <c r="G94" i="2"/>
  <c r="AD93" i="2"/>
  <c r="AC93" i="2"/>
  <c r="W93" i="2"/>
  <c r="Z93" i="2" s="1"/>
  <c r="V93" i="2"/>
  <c r="AA93" i="2" s="1"/>
  <c r="U93" i="2"/>
  <c r="S93" i="2"/>
  <c r="T93" i="2" s="1"/>
  <c r="R93" i="2"/>
  <c r="Q93" i="2"/>
  <c r="O93" i="2"/>
  <c r="L93" i="2"/>
  <c r="M93" i="2" s="1"/>
  <c r="N93" i="2" s="1"/>
  <c r="G93" i="2"/>
  <c r="H93" i="2" s="1"/>
  <c r="AD92" i="2"/>
  <c r="AC92" i="2"/>
  <c r="W92" i="2"/>
  <c r="Z92" i="2" s="1"/>
  <c r="V92" i="2"/>
  <c r="AA92" i="2" s="1"/>
  <c r="U92" i="2"/>
  <c r="S92" i="2"/>
  <c r="T92" i="2" s="1"/>
  <c r="R92" i="2"/>
  <c r="Q92" i="2"/>
  <c r="O92" i="2"/>
  <c r="L92" i="2"/>
  <c r="M92" i="2" s="1"/>
  <c r="N92" i="2" s="1"/>
  <c r="G92" i="2"/>
  <c r="H92" i="2" s="1"/>
  <c r="AD91" i="2"/>
  <c r="AC91" i="2"/>
  <c r="W91" i="2"/>
  <c r="Z91" i="2" s="1"/>
  <c r="V91" i="2"/>
  <c r="AA91" i="2" s="1"/>
  <c r="U91" i="2"/>
  <c r="S91" i="2"/>
  <c r="T91" i="2" s="1"/>
  <c r="R91" i="2"/>
  <c r="Q91" i="2"/>
  <c r="O91" i="2"/>
  <c r="L91" i="2"/>
  <c r="M91" i="2" s="1"/>
  <c r="N91" i="2" s="1"/>
  <c r="P91" i="2" s="1"/>
  <c r="G91" i="2"/>
  <c r="I91" i="2" s="1"/>
  <c r="AD90" i="2"/>
  <c r="AC90" i="2"/>
  <c r="W90" i="2"/>
  <c r="Z90" i="2" s="1"/>
  <c r="V90" i="2"/>
  <c r="AA90" i="2" s="1"/>
  <c r="U90" i="2"/>
  <c r="S90" i="2"/>
  <c r="T90" i="2" s="1"/>
  <c r="R90" i="2"/>
  <c r="Q90" i="2"/>
  <c r="O90" i="2"/>
  <c r="L90" i="2"/>
  <c r="M90" i="2" s="1"/>
  <c r="N90" i="2" s="1"/>
  <c r="G90" i="2"/>
  <c r="AD89" i="2"/>
  <c r="AC89" i="2"/>
  <c r="W89" i="2"/>
  <c r="Z89" i="2" s="1"/>
  <c r="V89" i="2"/>
  <c r="AA89" i="2" s="1"/>
  <c r="U89" i="2"/>
  <c r="S89" i="2"/>
  <c r="R89" i="2"/>
  <c r="Q89" i="2"/>
  <c r="O89" i="2"/>
  <c r="L89" i="2"/>
  <c r="M89" i="2" s="1"/>
  <c r="N89" i="2" s="1"/>
  <c r="G89" i="2"/>
  <c r="K89" i="2" s="1"/>
  <c r="AD88" i="2"/>
  <c r="AC88" i="2"/>
  <c r="W88" i="2"/>
  <c r="Z88" i="2" s="1"/>
  <c r="V88" i="2"/>
  <c r="AA88" i="2" s="1"/>
  <c r="U88" i="2"/>
  <c r="S88" i="2"/>
  <c r="X88" i="2" s="1"/>
  <c r="R88" i="2"/>
  <c r="Q88" i="2"/>
  <c r="O88" i="2"/>
  <c r="L88" i="2"/>
  <c r="M88" i="2" s="1"/>
  <c r="N88" i="2" s="1"/>
  <c r="G88" i="2"/>
  <c r="H88" i="2" s="1"/>
  <c r="AD87" i="2"/>
  <c r="AC87" i="2"/>
  <c r="W87" i="2"/>
  <c r="Z87" i="2" s="1"/>
  <c r="V87" i="2"/>
  <c r="AA87" i="2" s="1"/>
  <c r="U87" i="2"/>
  <c r="S87" i="2"/>
  <c r="T87" i="2" s="1"/>
  <c r="R87" i="2"/>
  <c r="Q87" i="2"/>
  <c r="O87" i="2"/>
  <c r="L87" i="2"/>
  <c r="M87" i="2" s="1"/>
  <c r="N87" i="2" s="1"/>
  <c r="G87" i="2"/>
  <c r="I87" i="2" s="1"/>
  <c r="AD86" i="2"/>
  <c r="AC86" i="2"/>
  <c r="W86" i="2"/>
  <c r="Z86" i="2" s="1"/>
  <c r="V86" i="2"/>
  <c r="AA86" i="2" s="1"/>
  <c r="U86" i="2"/>
  <c r="S86" i="2"/>
  <c r="X86" i="2" s="1"/>
  <c r="R86" i="2"/>
  <c r="Q86" i="2"/>
  <c r="O86" i="2"/>
  <c r="L86" i="2"/>
  <c r="M86" i="2" s="1"/>
  <c r="N86" i="2" s="1"/>
  <c r="G86" i="2"/>
  <c r="AD85" i="2"/>
  <c r="AC85" i="2"/>
  <c r="W85" i="2"/>
  <c r="Z85" i="2" s="1"/>
  <c r="V85" i="2"/>
  <c r="AA85" i="2" s="1"/>
  <c r="U85" i="2"/>
  <c r="S85" i="2"/>
  <c r="X85" i="2" s="1"/>
  <c r="R85" i="2"/>
  <c r="Q85" i="2"/>
  <c r="O85" i="2"/>
  <c r="L85" i="2"/>
  <c r="M85" i="2" s="1"/>
  <c r="N85" i="2" s="1"/>
  <c r="G85" i="2"/>
  <c r="AD84" i="2"/>
  <c r="AC84" i="2"/>
  <c r="W84" i="2"/>
  <c r="Z84" i="2" s="1"/>
  <c r="V84" i="2"/>
  <c r="AA84" i="2" s="1"/>
  <c r="U84" i="2"/>
  <c r="S84" i="2"/>
  <c r="X84" i="2" s="1"/>
  <c r="R84" i="2"/>
  <c r="Q84" i="2"/>
  <c r="O84" i="2"/>
  <c r="L84" i="2"/>
  <c r="M84" i="2" s="1"/>
  <c r="N84" i="2" s="1"/>
  <c r="G84" i="2"/>
  <c r="K84" i="2" s="1"/>
  <c r="AD71" i="2"/>
  <c r="AC71" i="2"/>
  <c r="W71" i="2"/>
  <c r="Z71" i="2" s="1"/>
  <c r="V71" i="2"/>
  <c r="AA71" i="2" s="1"/>
  <c r="U71" i="2"/>
  <c r="S71" i="2"/>
  <c r="T71" i="2" s="1"/>
  <c r="R71" i="2"/>
  <c r="Q71" i="2"/>
  <c r="O71" i="2"/>
  <c r="L71" i="2"/>
  <c r="M71" i="2" s="1"/>
  <c r="N71" i="2" s="1"/>
  <c r="G71" i="2"/>
  <c r="K71" i="2" s="1"/>
  <c r="R70" i="2"/>
  <c r="Q70" i="2"/>
  <c r="E70" i="2"/>
  <c r="AD70" i="2" s="1"/>
  <c r="AD67" i="2"/>
  <c r="AC67" i="2"/>
  <c r="W67" i="2"/>
  <c r="Z67" i="2" s="1"/>
  <c r="V67" i="2"/>
  <c r="AA67" i="2" s="1"/>
  <c r="U67" i="2"/>
  <c r="S67" i="2"/>
  <c r="X67" i="2" s="1"/>
  <c r="R67" i="2"/>
  <c r="Q67" i="2"/>
  <c r="O67" i="2"/>
  <c r="L67" i="2"/>
  <c r="M67" i="2" s="1"/>
  <c r="N67" i="2" s="1"/>
  <c r="G67" i="2"/>
  <c r="H67" i="2" s="1"/>
  <c r="AD96" i="2"/>
  <c r="AC96" i="2"/>
  <c r="W96" i="2"/>
  <c r="Z96" i="2" s="1"/>
  <c r="V96" i="2"/>
  <c r="AA96" i="2" s="1"/>
  <c r="U96" i="2"/>
  <c r="S96" i="2"/>
  <c r="X96" i="2" s="1"/>
  <c r="R96" i="2"/>
  <c r="Q96" i="2"/>
  <c r="O96" i="2"/>
  <c r="L96" i="2"/>
  <c r="M96" i="2" s="1"/>
  <c r="N96" i="2" s="1"/>
  <c r="P96" i="2" s="1"/>
  <c r="G96" i="2"/>
  <c r="AD95" i="2"/>
  <c r="AC95" i="2"/>
  <c r="W95" i="2"/>
  <c r="Z95" i="2" s="1"/>
  <c r="V95" i="2"/>
  <c r="AA95" i="2" s="1"/>
  <c r="U95" i="2"/>
  <c r="S95" i="2"/>
  <c r="X95" i="2" s="1"/>
  <c r="R95" i="2"/>
  <c r="Q95" i="2"/>
  <c r="O95" i="2"/>
  <c r="L95" i="2"/>
  <c r="M95" i="2" s="1"/>
  <c r="N95" i="2" s="1"/>
  <c r="G95" i="2"/>
  <c r="K95" i="2" s="1"/>
  <c r="AD97" i="2"/>
  <c r="AC97" i="2"/>
  <c r="W97" i="2"/>
  <c r="Z97" i="2" s="1"/>
  <c r="V97" i="2"/>
  <c r="AA97" i="2" s="1"/>
  <c r="U97" i="2"/>
  <c r="S97" i="2"/>
  <c r="T97" i="2" s="1"/>
  <c r="R97" i="2"/>
  <c r="Q97" i="2"/>
  <c r="O97" i="2"/>
  <c r="L97" i="2"/>
  <c r="M97" i="2" s="1"/>
  <c r="N97" i="2" s="1"/>
  <c r="G97" i="2"/>
  <c r="AD63" i="2"/>
  <c r="AC63" i="2"/>
  <c r="W63" i="2"/>
  <c r="Z63" i="2" s="1"/>
  <c r="V63" i="2"/>
  <c r="AA63" i="2" s="1"/>
  <c r="U63" i="2"/>
  <c r="S63" i="2"/>
  <c r="T63" i="2" s="1"/>
  <c r="R63" i="2"/>
  <c r="Q63" i="2"/>
  <c r="O63" i="2"/>
  <c r="L63" i="2"/>
  <c r="M63" i="2" s="1"/>
  <c r="N63" i="2" s="1"/>
  <c r="G63" i="2"/>
  <c r="H63" i="2" s="1"/>
  <c r="AD61" i="2"/>
  <c r="AC61" i="2"/>
  <c r="W61" i="2"/>
  <c r="Z61" i="2" s="1"/>
  <c r="V61" i="2"/>
  <c r="AA61" i="2" s="1"/>
  <c r="U61" i="2"/>
  <c r="S61" i="2"/>
  <c r="X61" i="2" s="1"/>
  <c r="R61" i="2"/>
  <c r="Q61" i="2"/>
  <c r="O61" i="2"/>
  <c r="L61" i="2"/>
  <c r="M61" i="2" s="1"/>
  <c r="N61" i="2" s="1"/>
  <c r="G61" i="2"/>
  <c r="AD59" i="2"/>
  <c r="AC59" i="2"/>
  <c r="W59" i="2"/>
  <c r="Z59" i="2" s="1"/>
  <c r="V59" i="2"/>
  <c r="AA59" i="2" s="1"/>
  <c r="U59" i="2"/>
  <c r="S59" i="2"/>
  <c r="X59" i="2" s="1"/>
  <c r="R59" i="2"/>
  <c r="Q59" i="2"/>
  <c r="O59" i="2"/>
  <c r="L59" i="2"/>
  <c r="M59" i="2" s="1"/>
  <c r="N59" i="2" s="1"/>
  <c r="G59" i="2"/>
  <c r="K59" i="2" s="1"/>
  <c r="AD58" i="2"/>
  <c r="AC58" i="2"/>
  <c r="W58" i="2"/>
  <c r="Z58" i="2" s="1"/>
  <c r="V58" i="2"/>
  <c r="AA58" i="2" s="1"/>
  <c r="U58" i="2"/>
  <c r="S58" i="2"/>
  <c r="X58" i="2" s="1"/>
  <c r="R58" i="2"/>
  <c r="Q58" i="2"/>
  <c r="O58" i="2"/>
  <c r="L58" i="2"/>
  <c r="M58" i="2" s="1"/>
  <c r="N58" i="2" s="1"/>
  <c r="G58" i="2"/>
  <c r="K58" i="2" s="1"/>
  <c r="AD57" i="2"/>
  <c r="AC57" i="2"/>
  <c r="W57" i="2"/>
  <c r="Z57" i="2" s="1"/>
  <c r="V57" i="2"/>
  <c r="AA57" i="2" s="1"/>
  <c r="U57" i="2"/>
  <c r="S57" i="2"/>
  <c r="R57" i="2"/>
  <c r="Q57" i="2"/>
  <c r="O57" i="2"/>
  <c r="L57" i="2"/>
  <c r="M57" i="2" s="1"/>
  <c r="N57" i="2" s="1"/>
  <c r="G57" i="2"/>
  <c r="H57" i="2" s="1"/>
  <c r="AD55" i="2"/>
  <c r="AC55" i="2"/>
  <c r="W55" i="2"/>
  <c r="Z55" i="2" s="1"/>
  <c r="V55" i="2"/>
  <c r="AA55" i="2" s="1"/>
  <c r="U55" i="2"/>
  <c r="S55" i="2"/>
  <c r="X55" i="2" s="1"/>
  <c r="R55" i="2"/>
  <c r="Q55" i="2"/>
  <c r="O55" i="2"/>
  <c r="L55" i="2"/>
  <c r="M55" i="2" s="1"/>
  <c r="N55" i="2" s="1"/>
  <c r="G55" i="2"/>
  <c r="H55" i="2" s="1"/>
  <c r="R54" i="2"/>
  <c r="Q54" i="2"/>
  <c r="E54" i="2"/>
  <c r="W54" i="2" s="1"/>
  <c r="Z54" i="2" s="1"/>
  <c r="D54" i="2"/>
  <c r="AD53" i="2"/>
  <c r="AC53" i="2"/>
  <c r="W53" i="2"/>
  <c r="Z53" i="2" s="1"/>
  <c r="V53" i="2"/>
  <c r="AA53" i="2" s="1"/>
  <c r="U53" i="2"/>
  <c r="S53" i="2"/>
  <c r="T53" i="2" s="1"/>
  <c r="R53" i="2"/>
  <c r="Q53" i="2"/>
  <c r="O53" i="2"/>
  <c r="L53" i="2"/>
  <c r="M53" i="2" s="1"/>
  <c r="N53" i="2" s="1"/>
  <c r="G53" i="2"/>
  <c r="K53" i="2" s="1"/>
  <c r="AD52" i="2"/>
  <c r="AC52" i="2"/>
  <c r="W52" i="2"/>
  <c r="Z52" i="2" s="1"/>
  <c r="V52" i="2"/>
  <c r="AA52" i="2" s="1"/>
  <c r="U52" i="2"/>
  <c r="S52" i="2"/>
  <c r="T52" i="2" s="1"/>
  <c r="R52" i="2"/>
  <c r="Q52" i="2"/>
  <c r="O52" i="2"/>
  <c r="L52" i="2"/>
  <c r="M52" i="2" s="1"/>
  <c r="N52" i="2" s="1"/>
  <c r="P52" i="2" s="1"/>
  <c r="G52" i="2"/>
  <c r="H52" i="2" s="1"/>
  <c r="AD51" i="2"/>
  <c r="AC51" i="2"/>
  <c r="W51" i="2"/>
  <c r="Z51" i="2" s="1"/>
  <c r="V51" i="2"/>
  <c r="AA51" i="2" s="1"/>
  <c r="U51" i="2"/>
  <c r="S51" i="2"/>
  <c r="X51" i="2" s="1"/>
  <c r="R51" i="2"/>
  <c r="Q51" i="2"/>
  <c r="O51" i="2"/>
  <c r="L51" i="2"/>
  <c r="M51" i="2" s="1"/>
  <c r="N51" i="2" s="1"/>
  <c r="G51" i="2"/>
  <c r="H51" i="2" s="1"/>
  <c r="AD50" i="2"/>
  <c r="AC50" i="2"/>
  <c r="W50" i="2"/>
  <c r="Z50" i="2" s="1"/>
  <c r="V50" i="2"/>
  <c r="AA50" i="2" s="1"/>
  <c r="U50" i="2"/>
  <c r="S50" i="2"/>
  <c r="T50" i="2" s="1"/>
  <c r="R50" i="2"/>
  <c r="Q50" i="2"/>
  <c r="O50" i="2"/>
  <c r="L50" i="2"/>
  <c r="M50" i="2" s="1"/>
  <c r="N50" i="2" s="1"/>
  <c r="G50" i="2"/>
  <c r="AD48" i="2"/>
  <c r="AC48" i="2"/>
  <c r="W48" i="2"/>
  <c r="Z48" i="2" s="1"/>
  <c r="V48" i="2"/>
  <c r="AA48" i="2" s="1"/>
  <c r="U48" i="2"/>
  <c r="S48" i="2"/>
  <c r="T48" i="2" s="1"/>
  <c r="R48" i="2"/>
  <c r="Q48" i="2"/>
  <c r="O48" i="2"/>
  <c r="L48" i="2"/>
  <c r="M48" i="2" s="1"/>
  <c r="N48" i="2" s="1"/>
  <c r="G48" i="2"/>
  <c r="K48" i="2" s="1"/>
  <c r="AD47" i="2"/>
  <c r="AC47" i="2"/>
  <c r="W47" i="2"/>
  <c r="Z47" i="2" s="1"/>
  <c r="V47" i="2"/>
  <c r="AA47" i="2" s="1"/>
  <c r="U47" i="2"/>
  <c r="S47" i="2"/>
  <c r="X47" i="2" s="1"/>
  <c r="R47" i="2"/>
  <c r="Q47" i="2"/>
  <c r="O47" i="2"/>
  <c r="L47" i="2"/>
  <c r="M47" i="2" s="1"/>
  <c r="N47" i="2" s="1"/>
  <c r="G47" i="2"/>
  <c r="I47" i="2" s="1"/>
  <c r="AD43" i="2"/>
  <c r="AC43" i="2"/>
  <c r="W43" i="2"/>
  <c r="Z43" i="2" s="1"/>
  <c r="V43" i="2"/>
  <c r="AA43" i="2" s="1"/>
  <c r="U43" i="2"/>
  <c r="S43" i="2"/>
  <c r="T43" i="2" s="1"/>
  <c r="R43" i="2"/>
  <c r="Q43" i="2"/>
  <c r="O43" i="2"/>
  <c r="L43" i="2"/>
  <c r="M43" i="2" s="1"/>
  <c r="N43" i="2" s="1"/>
  <c r="G43" i="2"/>
  <c r="H43" i="2" s="1"/>
  <c r="AD15" i="2"/>
  <c r="AC15" i="2"/>
  <c r="W15" i="2"/>
  <c r="Z15" i="2" s="1"/>
  <c r="V15" i="2"/>
  <c r="AA15" i="2" s="1"/>
  <c r="U15" i="2"/>
  <c r="S15" i="2"/>
  <c r="T15" i="2" s="1"/>
  <c r="R15" i="2"/>
  <c r="Q15" i="2"/>
  <c r="O15" i="2"/>
  <c r="L15" i="2"/>
  <c r="M15" i="2" s="1"/>
  <c r="N15" i="2" s="1"/>
  <c r="G15" i="2"/>
  <c r="AD12" i="2"/>
  <c r="AC12" i="2"/>
  <c r="W12" i="2"/>
  <c r="Z12" i="2" s="1"/>
  <c r="V12" i="2"/>
  <c r="AA12" i="2" s="1"/>
  <c r="U12" i="2"/>
  <c r="S12" i="2"/>
  <c r="X12" i="2" s="1"/>
  <c r="R12" i="2"/>
  <c r="Q12" i="2"/>
  <c r="O12" i="2"/>
  <c r="L12" i="2"/>
  <c r="M12" i="2" s="1"/>
  <c r="N12" i="2" s="1"/>
  <c r="P12" i="2" s="1"/>
  <c r="G12" i="2"/>
  <c r="K12" i="2" s="1"/>
  <c r="AD6" i="2"/>
  <c r="AC6" i="2"/>
  <c r="W6" i="2"/>
  <c r="Z6" i="2" s="1"/>
  <c r="V6" i="2"/>
  <c r="AA6" i="2" s="1"/>
  <c r="U6" i="2"/>
  <c r="S6" i="2"/>
  <c r="X6" i="2" s="1"/>
  <c r="R6" i="2"/>
  <c r="Q6" i="2"/>
  <c r="O6" i="2"/>
  <c r="L6" i="2"/>
  <c r="M6" i="2" s="1"/>
  <c r="N6" i="2" s="1"/>
  <c r="G6" i="2"/>
  <c r="H6" i="2" s="1"/>
  <c r="AD5" i="2"/>
  <c r="AC5" i="2"/>
  <c r="W5" i="2"/>
  <c r="Z5" i="2" s="1"/>
  <c r="V5" i="2"/>
  <c r="AA5" i="2" s="1"/>
  <c r="U5" i="2"/>
  <c r="S5" i="2"/>
  <c r="R5" i="2"/>
  <c r="Q5" i="2"/>
  <c r="O5" i="2"/>
  <c r="L5" i="2"/>
  <c r="M5" i="2" s="1"/>
  <c r="N5" i="2" s="1"/>
  <c r="G5" i="2"/>
  <c r="H5" i="2" s="1"/>
  <c r="AD4" i="2"/>
  <c r="AC4" i="2"/>
  <c r="W4" i="2"/>
  <c r="Z4" i="2" s="1"/>
  <c r="V4" i="2"/>
  <c r="AA4" i="2" s="1"/>
  <c r="U4" i="2"/>
  <c r="S4" i="2"/>
  <c r="X4" i="2" s="1"/>
  <c r="R4" i="2"/>
  <c r="Q4" i="2"/>
  <c r="O4" i="2"/>
  <c r="L4" i="2"/>
  <c r="M4" i="2" s="1"/>
  <c r="N4" i="2" s="1"/>
  <c r="P4" i="2" s="1"/>
  <c r="G4" i="2"/>
  <c r="I4" i="2" s="1"/>
  <c r="AD3" i="2"/>
  <c r="AC3" i="2"/>
  <c r="W3" i="2"/>
  <c r="Z3" i="2" s="1"/>
  <c r="V3" i="2"/>
  <c r="AA3" i="2" s="1"/>
  <c r="U3" i="2"/>
  <c r="S3" i="2"/>
  <c r="X3" i="2" s="1"/>
  <c r="R3" i="2"/>
  <c r="Q3" i="2"/>
  <c r="O3" i="2"/>
  <c r="L3" i="2"/>
  <c r="M3" i="2" s="1"/>
  <c r="N3" i="2" s="1"/>
  <c r="G3" i="2"/>
  <c r="K3" i="2" s="1"/>
  <c r="AD2" i="2"/>
  <c r="AC2" i="2"/>
  <c r="W2" i="2"/>
  <c r="Z2" i="2" s="1"/>
  <c r="V2" i="2"/>
  <c r="AA2" i="2" s="1"/>
  <c r="U2" i="2"/>
  <c r="S2" i="2"/>
  <c r="X2" i="2" s="1"/>
  <c r="R2" i="2"/>
  <c r="Q2" i="2"/>
  <c r="O2" i="2"/>
  <c r="L2" i="2"/>
  <c r="M2" i="2" s="1"/>
  <c r="N2" i="2" s="1"/>
  <c r="G2" i="2"/>
  <c r="K2" i="2" s="1"/>
  <c r="C2" i="2"/>
  <c r="B2" i="2"/>
  <c r="P47" i="2" l="1"/>
  <c r="P93" i="2"/>
  <c r="P22" i="2"/>
  <c r="P41" i="2"/>
  <c r="P67" i="2"/>
  <c r="P75" i="2"/>
  <c r="P87" i="2"/>
  <c r="P84" i="2"/>
  <c r="P11" i="2"/>
  <c r="P86" i="2"/>
  <c r="P8" i="2"/>
  <c r="P13" i="2"/>
  <c r="P68" i="2"/>
  <c r="P36" i="2"/>
  <c r="P66" i="2"/>
  <c r="P55" i="2"/>
  <c r="P62" i="2"/>
  <c r="P82" i="2"/>
  <c r="P9" i="2"/>
  <c r="P23" i="2"/>
  <c r="P17" i="2"/>
  <c r="P34" i="2"/>
  <c r="P31" i="2"/>
  <c r="P7" i="2"/>
  <c r="P2" i="2"/>
  <c r="I97" i="2"/>
  <c r="P5" i="2"/>
  <c r="P97" i="2"/>
  <c r="P24" i="2"/>
  <c r="X43" i="2"/>
  <c r="P49" i="2"/>
  <c r="P80" i="2"/>
  <c r="P57" i="2"/>
  <c r="P94" i="2"/>
  <c r="P53" i="2"/>
  <c r="P58" i="2"/>
  <c r="P29" i="2"/>
  <c r="P76" i="2"/>
  <c r="P14" i="2"/>
  <c r="P44" i="2"/>
  <c r="P73" i="2"/>
  <c r="P48" i="2"/>
  <c r="X87" i="2"/>
  <c r="P69" i="2"/>
  <c r="P43" i="2"/>
  <c r="P79" i="2"/>
  <c r="P71" i="2"/>
  <c r="I86" i="2"/>
  <c r="P30" i="2"/>
  <c r="K38" i="2"/>
  <c r="P38" i="2"/>
  <c r="H74" i="2"/>
  <c r="I61" i="2"/>
  <c r="I74" i="2"/>
  <c r="P61" i="2"/>
  <c r="P88" i="2"/>
  <c r="P25" i="2"/>
  <c r="P39" i="2"/>
  <c r="P26" i="2"/>
  <c r="P64" i="2"/>
  <c r="P83" i="2"/>
  <c r="P27" i="2"/>
  <c r="H58" i="2"/>
  <c r="H38" i="2"/>
  <c r="H28" i="2"/>
  <c r="P51" i="2"/>
  <c r="P63" i="2"/>
  <c r="I96" i="2"/>
  <c r="P89" i="2"/>
  <c r="P21" i="2"/>
  <c r="P40" i="2"/>
  <c r="I28" i="2"/>
  <c r="P46" i="2"/>
  <c r="P81" i="2"/>
  <c r="P92" i="2"/>
  <c r="P28" i="2"/>
  <c r="P56" i="2"/>
  <c r="T4" i="2"/>
  <c r="H9" i="2"/>
  <c r="H84" i="2"/>
  <c r="AD54" i="2"/>
  <c r="H48" i="2"/>
  <c r="I48" i="2"/>
  <c r="I16" i="2"/>
  <c r="K16" i="2"/>
  <c r="L54" i="2"/>
  <c r="M54" i="2" s="1"/>
  <c r="N54" i="2" s="1"/>
  <c r="AC54" i="2"/>
  <c r="P6" i="2"/>
  <c r="P16" i="2"/>
  <c r="K66" i="2"/>
  <c r="H87" i="2"/>
  <c r="P95" i="2"/>
  <c r="P85" i="2"/>
  <c r="P90" i="2"/>
  <c r="X90" i="2"/>
  <c r="H76" i="2"/>
  <c r="I76" i="2"/>
  <c r="T88" i="2"/>
  <c r="X93" i="2"/>
  <c r="K10" i="2"/>
  <c r="H68" i="2"/>
  <c r="K68" i="2"/>
  <c r="X63" i="2"/>
  <c r="I25" i="2"/>
  <c r="K25" i="2"/>
  <c r="H41" i="2"/>
  <c r="I50" i="2"/>
  <c r="P59" i="2"/>
  <c r="T58" i="2"/>
  <c r="T6" i="2"/>
  <c r="K86" i="2"/>
  <c r="T55" i="2"/>
  <c r="P50" i="2"/>
  <c r="I84" i="2"/>
  <c r="I94" i="2"/>
  <c r="K57" i="2"/>
  <c r="P77" i="2"/>
  <c r="I92" i="2"/>
  <c r="K5" i="2"/>
  <c r="K87" i="2"/>
  <c r="K23" i="2"/>
  <c r="K60" i="2"/>
  <c r="H3" i="2"/>
  <c r="I15" i="2"/>
  <c r="H95" i="2"/>
  <c r="H89" i="2"/>
  <c r="T84" i="2"/>
  <c r="I57" i="2"/>
  <c r="I89" i="2"/>
  <c r="H31" i="2"/>
  <c r="I23" i="2"/>
  <c r="I31" i="2"/>
  <c r="I3" i="2"/>
  <c r="I5" i="2"/>
  <c r="I95" i="2"/>
  <c r="H66" i="2"/>
  <c r="H75" i="2"/>
  <c r="K92" i="2"/>
  <c r="K61" i="2"/>
  <c r="K69" i="2"/>
  <c r="H60" i="2"/>
  <c r="K15" i="2"/>
  <c r="P3" i="2"/>
  <c r="P15" i="2"/>
  <c r="G54" i="2"/>
  <c r="I85" i="2"/>
  <c r="I90" i="2"/>
  <c r="P33" i="2"/>
  <c r="P45" i="2"/>
  <c r="H78" i="2"/>
  <c r="K9" i="2"/>
  <c r="I78" i="2"/>
  <c r="K26" i="2"/>
  <c r="H83" i="2"/>
  <c r="H21" i="2"/>
  <c r="K17" i="2"/>
  <c r="I32" i="2"/>
  <c r="H8" i="2"/>
  <c r="K62" i="2"/>
  <c r="I83" i="2"/>
  <c r="K32" i="2"/>
  <c r="I39" i="2"/>
  <c r="H49" i="2"/>
  <c r="K8" i="2"/>
  <c r="I75" i="2"/>
  <c r="I49" i="2"/>
  <c r="H81" i="2"/>
  <c r="I81" i="2"/>
  <c r="K33" i="2"/>
  <c r="I7" i="2"/>
  <c r="H72" i="2"/>
  <c r="K21" i="2"/>
  <c r="I33" i="2"/>
  <c r="H42" i="2"/>
  <c r="H45" i="2"/>
  <c r="K7" i="2"/>
  <c r="I72" i="2"/>
  <c r="I62" i="2"/>
  <c r="K36" i="2"/>
  <c r="I42" i="2"/>
  <c r="H18" i="2"/>
  <c r="H79" i="2"/>
  <c r="H36" i="2"/>
  <c r="I45" i="2"/>
  <c r="I18" i="2"/>
  <c r="H27" i="2"/>
  <c r="I79" i="2"/>
  <c r="I27" i="2"/>
  <c r="I41" i="2"/>
  <c r="K20" i="2"/>
  <c r="K39" i="2"/>
  <c r="H17" i="2"/>
  <c r="H37" i="2"/>
  <c r="H20" i="2"/>
  <c r="H34" i="2"/>
  <c r="I46" i="2"/>
  <c r="H82" i="2"/>
  <c r="H73" i="2"/>
  <c r="K46" i="2"/>
  <c r="I82" i="2"/>
  <c r="I73" i="2"/>
  <c r="H13" i="2"/>
  <c r="H30" i="2"/>
  <c r="I13" i="2"/>
  <c r="I35" i="2"/>
  <c r="I29" i="2"/>
  <c r="H22" i="2"/>
  <c r="H26" i="2"/>
  <c r="K37" i="2"/>
  <c r="I34" i="2"/>
  <c r="I19" i="2"/>
  <c r="K19" i="2"/>
  <c r="I22" i="2"/>
  <c r="H35" i="2"/>
  <c r="H64" i="2"/>
  <c r="I80" i="2"/>
  <c r="I24" i="2"/>
  <c r="H44" i="2"/>
  <c r="I65" i="2"/>
  <c r="K65" i="2"/>
  <c r="I40" i="2"/>
  <c r="H56" i="2"/>
  <c r="K14" i="2"/>
  <c r="I77" i="2"/>
  <c r="H29" i="2"/>
  <c r="H80" i="2"/>
  <c r="I64" i="2"/>
  <c r="H11" i="2"/>
  <c r="H14" i="2"/>
  <c r="I11" i="2"/>
  <c r="H40" i="2"/>
  <c r="H77" i="2"/>
  <c r="H69" i="2"/>
  <c r="I56" i="2"/>
  <c r="H10" i="2"/>
  <c r="I30" i="2"/>
  <c r="H24" i="2"/>
  <c r="I44" i="2"/>
  <c r="T96" i="2"/>
  <c r="H4" i="2"/>
  <c r="K91" i="2"/>
  <c r="H94" i="2"/>
  <c r="T86" i="2"/>
  <c r="T5" i="2"/>
  <c r="I88" i="2"/>
  <c r="I52" i="2"/>
  <c r="K52" i="2"/>
  <c r="T61" i="2"/>
  <c r="I67" i="2"/>
  <c r="S70" i="2"/>
  <c r="K94" i="2"/>
  <c r="K51" i="2"/>
  <c r="K67" i="2"/>
  <c r="X92" i="2"/>
  <c r="G70" i="2"/>
  <c r="X71" i="2"/>
  <c r="H91" i="2"/>
  <c r="T95" i="2"/>
  <c r="X48" i="2"/>
  <c r="U70" i="2"/>
  <c r="X50" i="2"/>
  <c r="X53" i="2"/>
  <c r="K85" i="2"/>
  <c r="K4" i="2"/>
  <c r="K47" i="2"/>
  <c r="X15" i="2"/>
  <c r="V70" i="2"/>
  <c r="AA70" i="2" s="1"/>
  <c r="T85" i="2"/>
  <c r="H12" i="2"/>
  <c r="H97" i="2"/>
  <c r="X89" i="2"/>
  <c r="X52" i="2"/>
  <c r="W70" i="2"/>
  <c r="Z70" i="2" s="1"/>
  <c r="L70" i="2"/>
  <c r="M70" i="2" s="1"/>
  <c r="N70" i="2" s="1"/>
  <c r="O70" i="2"/>
  <c r="K97" i="2"/>
  <c r="T12" i="2"/>
  <c r="T2" i="2"/>
  <c r="K88" i="2"/>
  <c r="H85" i="2"/>
  <c r="K55" i="2"/>
  <c r="I59" i="2"/>
  <c r="X5" i="2"/>
  <c r="T57" i="2"/>
  <c r="T47" i="2"/>
  <c r="H53" i="2"/>
  <c r="K96" i="2"/>
  <c r="X91" i="2"/>
  <c r="I53" i="2"/>
  <c r="X97" i="2"/>
  <c r="H71" i="2"/>
  <c r="T89" i="2"/>
  <c r="T59" i="2"/>
  <c r="H90" i="2"/>
  <c r="K6" i="2"/>
  <c r="I55" i="2"/>
  <c r="H59" i="2"/>
  <c r="I12" i="2"/>
  <c r="H47" i="2"/>
  <c r="I43" i="2"/>
  <c r="K43" i="2"/>
  <c r="H50" i="2"/>
  <c r="O54" i="2"/>
  <c r="K63" i="2"/>
  <c r="H96" i="2"/>
  <c r="AC70" i="2"/>
  <c r="I93" i="2"/>
  <c r="T51" i="2"/>
  <c r="T67" i="2"/>
  <c r="K93" i="2"/>
  <c r="K50" i="2"/>
  <c r="I71" i="2"/>
  <c r="I2" i="2"/>
  <c r="H86" i="2"/>
  <c r="I6" i="2"/>
  <c r="I63" i="2"/>
  <c r="K90" i="2"/>
  <c r="H2" i="2"/>
  <c r="S54" i="2"/>
  <c r="X94" i="2"/>
  <c r="T3" i="2"/>
  <c r="U54" i="2"/>
  <c r="I51" i="2"/>
  <c r="V54" i="2"/>
  <c r="AA54" i="2" s="1"/>
  <c r="X57" i="2"/>
  <c r="I58" i="2"/>
  <c r="H15" i="2"/>
  <c r="H61" i="2"/>
  <c r="AD39" i="1"/>
  <c r="AC39" i="1"/>
  <c r="W39" i="1"/>
  <c r="Z39" i="1" s="1"/>
  <c r="V39" i="1"/>
  <c r="AA39" i="1" s="1"/>
  <c r="U39" i="1"/>
  <c r="S39" i="1"/>
  <c r="X39" i="1" s="1"/>
  <c r="R39" i="1"/>
  <c r="Q39" i="1"/>
  <c r="O39" i="1"/>
  <c r="L39" i="1"/>
  <c r="M39" i="1" s="1"/>
  <c r="N39" i="1" s="1"/>
  <c r="P39" i="1" s="1"/>
  <c r="AB39" i="1" s="1"/>
  <c r="G39" i="1"/>
  <c r="K39" i="1" s="1"/>
  <c r="AD38" i="1"/>
  <c r="AC38" i="1"/>
  <c r="W38" i="1"/>
  <c r="Z38" i="1" s="1"/>
  <c r="V38" i="1"/>
  <c r="AA38" i="1" s="1"/>
  <c r="U38" i="1"/>
  <c r="S38" i="1"/>
  <c r="T38" i="1" s="1"/>
  <c r="R38" i="1"/>
  <c r="Q38" i="1"/>
  <c r="O38" i="1"/>
  <c r="L38" i="1"/>
  <c r="M38" i="1" s="1"/>
  <c r="N38" i="1" s="1"/>
  <c r="P38" i="1" s="1"/>
  <c r="AB38" i="1" s="1"/>
  <c r="G38" i="1"/>
  <c r="H38" i="1" s="1"/>
  <c r="AD37" i="1"/>
  <c r="AC37" i="1"/>
  <c r="W37" i="1"/>
  <c r="Z37" i="1" s="1"/>
  <c r="V37" i="1"/>
  <c r="AA37" i="1" s="1"/>
  <c r="U37" i="1"/>
  <c r="S37" i="1"/>
  <c r="X37" i="1" s="1"/>
  <c r="R37" i="1"/>
  <c r="Q37" i="1"/>
  <c r="O37" i="1"/>
  <c r="L37" i="1"/>
  <c r="M37" i="1" s="1"/>
  <c r="N37" i="1" s="1"/>
  <c r="G37" i="1"/>
  <c r="H37" i="1" s="1"/>
  <c r="AD36" i="1"/>
  <c r="AC36" i="1"/>
  <c r="W36" i="1"/>
  <c r="Z36" i="1" s="1"/>
  <c r="V36" i="1"/>
  <c r="AA36" i="1" s="1"/>
  <c r="U36" i="1"/>
  <c r="S36" i="1"/>
  <c r="X36" i="1" s="1"/>
  <c r="R36" i="1"/>
  <c r="Q36" i="1"/>
  <c r="O36" i="1"/>
  <c r="L36" i="1"/>
  <c r="M36" i="1" s="1"/>
  <c r="N36" i="1" s="1"/>
  <c r="P36" i="1" s="1"/>
  <c r="AB36" i="1" s="1"/>
  <c r="G36" i="1"/>
  <c r="K36" i="1" s="1"/>
  <c r="AD35" i="1"/>
  <c r="AC35" i="1"/>
  <c r="W35" i="1"/>
  <c r="Z35" i="1" s="1"/>
  <c r="V35" i="1"/>
  <c r="AA35" i="1" s="1"/>
  <c r="U35" i="1"/>
  <c r="S35" i="1"/>
  <c r="T35" i="1" s="1"/>
  <c r="R35" i="1"/>
  <c r="Q35" i="1"/>
  <c r="O35" i="1"/>
  <c r="L35" i="1"/>
  <c r="M35" i="1" s="1"/>
  <c r="N35" i="1" s="1"/>
  <c r="P35" i="1" s="1"/>
  <c r="AB35" i="1" s="1"/>
  <c r="G35" i="1"/>
  <c r="AD34" i="1"/>
  <c r="AC34" i="1"/>
  <c r="W34" i="1"/>
  <c r="Z34" i="1" s="1"/>
  <c r="V34" i="1"/>
  <c r="AA34" i="1" s="1"/>
  <c r="U34" i="1"/>
  <c r="S34" i="1"/>
  <c r="X34" i="1" s="1"/>
  <c r="R34" i="1"/>
  <c r="Q34" i="1"/>
  <c r="O34" i="1"/>
  <c r="L34" i="1"/>
  <c r="M34" i="1" s="1"/>
  <c r="N34" i="1" s="1"/>
  <c r="G34" i="1"/>
  <c r="K34" i="1" s="1"/>
  <c r="AD33" i="1"/>
  <c r="AC33" i="1"/>
  <c r="W33" i="1"/>
  <c r="Z33" i="1" s="1"/>
  <c r="V33" i="1"/>
  <c r="AA33" i="1" s="1"/>
  <c r="U33" i="1"/>
  <c r="S33" i="1"/>
  <c r="T33" i="1" s="1"/>
  <c r="R33" i="1"/>
  <c r="Q33" i="1"/>
  <c r="O33" i="1"/>
  <c r="L33" i="1"/>
  <c r="M33" i="1" s="1"/>
  <c r="N33" i="1" s="1"/>
  <c r="P33" i="1" s="1"/>
  <c r="AB33" i="1" s="1"/>
  <c r="G33" i="1"/>
  <c r="H33" i="1" s="1"/>
  <c r="AD32" i="1"/>
  <c r="AC32" i="1"/>
  <c r="W32" i="1"/>
  <c r="Z32" i="1" s="1"/>
  <c r="V32" i="1"/>
  <c r="AA32" i="1" s="1"/>
  <c r="U32" i="1"/>
  <c r="S32" i="1"/>
  <c r="X32" i="1" s="1"/>
  <c r="R32" i="1"/>
  <c r="Q32" i="1"/>
  <c r="O32" i="1"/>
  <c r="L32" i="1"/>
  <c r="M32" i="1" s="1"/>
  <c r="N32" i="1" s="1"/>
  <c r="P32" i="1" s="1"/>
  <c r="AB32" i="1" s="1"/>
  <c r="G32" i="1"/>
  <c r="K32" i="1" s="1"/>
  <c r="AD31" i="1"/>
  <c r="AC31" i="1"/>
  <c r="W31" i="1"/>
  <c r="Z31" i="1" s="1"/>
  <c r="V31" i="1"/>
  <c r="AA31" i="1" s="1"/>
  <c r="U31" i="1"/>
  <c r="S31" i="1"/>
  <c r="X31" i="1" s="1"/>
  <c r="R31" i="1"/>
  <c r="Q31" i="1"/>
  <c r="O31" i="1"/>
  <c r="L31" i="1"/>
  <c r="M31" i="1" s="1"/>
  <c r="N31" i="1" s="1"/>
  <c r="G31" i="1"/>
  <c r="K31" i="1" s="1"/>
  <c r="AD30" i="1"/>
  <c r="AC30" i="1"/>
  <c r="W30" i="1"/>
  <c r="Z30" i="1" s="1"/>
  <c r="V30" i="1"/>
  <c r="AA30" i="1" s="1"/>
  <c r="U30" i="1"/>
  <c r="S30" i="1"/>
  <c r="X30" i="1" s="1"/>
  <c r="R30" i="1"/>
  <c r="Q30" i="1"/>
  <c r="O30" i="1"/>
  <c r="L30" i="1"/>
  <c r="M30" i="1" s="1"/>
  <c r="N30" i="1" s="1"/>
  <c r="P30" i="1" s="1"/>
  <c r="AB30" i="1" s="1"/>
  <c r="G30" i="1"/>
  <c r="K30" i="1" s="1"/>
  <c r="AD29" i="1"/>
  <c r="AC29" i="1"/>
  <c r="W29" i="1"/>
  <c r="Z29" i="1" s="1"/>
  <c r="V29" i="1"/>
  <c r="AA29" i="1" s="1"/>
  <c r="U29" i="1"/>
  <c r="S29" i="1"/>
  <c r="X29" i="1" s="1"/>
  <c r="R29" i="1"/>
  <c r="Q29" i="1"/>
  <c r="O29" i="1"/>
  <c r="L29" i="1"/>
  <c r="M29" i="1" s="1"/>
  <c r="N29" i="1" s="1"/>
  <c r="P29" i="1" s="1"/>
  <c r="AB29" i="1" s="1"/>
  <c r="G29" i="1"/>
  <c r="K29" i="1" s="1"/>
  <c r="AD28" i="1"/>
  <c r="AC28" i="1"/>
  <c r="W28" i="1"/>
  <c r="Z28" i="1" s="1"/>
  <c r="V28" i="1"/>
  <c r="AA28" i="1" s="1"/>
  <c r="U28" i="1"/>
  <c r="S28" i="1"/>
  <c r="T28" i="1" s="1"/>
  <c r="R28" i="1"/>
  <c r="Q28" i="1"/>
  <c r="O28" i="1"/>
  <c r="L28" i="1"/>
  <c r="M28" i="1" s="1"/>
  <c r="N28" i="1" s="1"/>
  <c r="P28" i="1" s="1"/>
  <c r="AB28" i="1" s="1"/>
  <c r="G28" i="1"/>
  <c r="I28" i="1" s="1"/>
  <c r="R27" i="1"/>
  <c r="Q27" i="1"/>
  <c r="E27" i="1"/>
  <c r="U27" i="1" s="1"/>
  <c r="AD26" i="1"/>
  <c r="AC26" i="1"/>
  <c r="W26" i="1"/>
  <c r="Z26" i="1" s="1"/>
  <c r="V26" i="1"/>
  <c r="AA26" i="1" s="1"/>
  <c r="U26" i="1"/>
  <c r="S26" i="1"/>
  <c r="T26" i="1" s="1"/>
  <c r="R26" i="1"/>
  <c r="Q26" i="1"/>
  <c r="O26" i="1"/>
  <c r="L26" i="1"/>
  <c r="M26" i="1" s="1"/>
  <c r="N26" i="1" s="1"/>
  <c r="P26" i="1" s="1"/>
  <c r="AB26" i="1" s="1"/>
  <c r="G26" i="1"/>
  <c r="K26" i="1" s="1"/>
  <c r="AD25" i="1"/>
  <c r="AC25" i="1"/>
  <c r="W25" i="1"/>
  <c r="Z25" i="1" s="1"/>
  <c r="V25" i="1"/>
  <c r="AA25" i="1" s="1"/>
  <c r="U25" i="1"/>
  <c r="S25" i="1"/>
  <c r="X25" i="1" s="1"/>
  <c r="R25" i="1"/>
  <c r="Q25" i="1"/>
  <c r="O25" i="1"/>
  <c r="L25" i="1"/>
  <c r="M25" i="1" s="1"/>
  <c r="N25" i="1" s="1"/>
  <c r="P25" i="1" s="1"/>
  <c r="AB25" i="1" s="1"/>
  <c r="G25" i="1"/>
  <c r="K25" i="1" s="1"/>
  <c r="AD24" i="1"/>
  <c r="AC24" i="1"/>
  <c r="W24" i="1"/>
  <c r="Z24" i="1" s="1"/>
  <c r="V24" i="1"/>
  <c r="AA24" i="1" s="1"/>
  <c r="U24" i="1"/>
  <c r="S24" i="1"/>
  <c r="X24" i="1" s="1"/>
  <c r="R24" i="1"/>
  <c r="Q24" i="1"/>
  <c r="O24" i="1"/>
  <c r="L24" i="1"/>
  <c r="M24" i="1" s="1"/>
  <c r="N24" i="1" s="1"/>
  <c r="P24" i="1" s="1"/>
  <c r="AB24" i="1" s="1"/>
  <c r="G24" i="1"/>
  <c r="K24" i="1" s="1"/>
  <c r="AD23" i="1"/>
  <c r="AC23" i="1"/>
  <c r="W23" i="1"/>
  <c r="Z23" i="1" s="1"/>
  <c r="V23" i="1"/>
  <c r="AA23" i="1" s="1"/>
  <c r="U23" i="1"/>
  <c r="S23" i="1"/>
  <c r="T23" i="1" s="1"/>
  <c r="R23" i="1"/>
  <c r="Q23" i="1"/>
  <c r="O23" i="1"/>
  <c r="L23" i="1"/>
  <c r="M23" i="1" s="1"/>
  <c r="N23" i="1" s="1"/>
  <c r="P23" i="1" s="1"/>
  <c r="AB23" i="1" s="1"/>
  <c r="G23" i="1"/>
  <c r="K23" i="1" s="1"/>
  <c r="AD22" i="1"/>
  <c r="AC22" i="1"/>
  <c r="W22" i="1"/>
  <c r="Z22" i="1" s="1"/>
  <c r="V22" i="1"/>
  <c r="AA22" i="1" s="1"/>
  <c r="U22" i="1"/>
  <c r="S22" i="1"/>
  <c r="T22" i="1" s="1"/>
  <c r="R22" i="1"/>
  <c r="Q22" i="1"/>
  <c r="O22" i="1"/>
  <c r="L22" i="1"/>
  <c r="M22" i="1" s="1"/>
  <c r="N22" i="1" s="1"/>
  <c r="G22" i="1"/>
  <c r="K22" i="1" s="1"/>
  <c r="AD21" i="1"/>
  <c r="AC21" i="1"/>
  <c r="W21" i="1"/>
  <c r="Z21" i="1" s="1"/>
  <c r="V21" i="1"/>
  <c r="AA21" i="1" s="1"/>
  <c r="U21" i="1"/>
  <c r="S21" i="1"/>
  <c r="X21" i="1" s="1"/>
  <c r="R21" i="1"/>
  <c r="Q21" i="1"/>
  <c r="O21" i="1"/>
  <c r="L21" i="1"/>
  <c r="M21" i="1" s="1"/>
  <c r="N21" i="1" s="1"/>
  <c r="P21" i="1" s="1"/>
  <c r="AB21" i="1" s="1"/>
  <c r="G21" i="1"/>
  <c r="I21" i="1" s="1"/>
  <c r="AD20" i="1"/>
  <c r="AC20" i="1"/>
  <c r="W20" i="1"/>
  <c r="Z20" i="1" s="1"/>
  <c r="V20" i="1"/>
  <c r="AA20" i="1" s="1"/>
  <c r="U20" i="1"/>
  <c r="S20" i="1"/>
  <c r="T20" i="1" s="1"/>
  <c r="R20" i="1"/>
  <c r="Q20" i="1"/>
  <c r="O20" i="1"/>
  <c r="L20" i="1"/>
  <c r="M20" i="1" s="1"/>
  <c r="N20" i="1" s="1"/>
  <c r="P20" i="1" s="1"/>
  <c r="AB20" i="1" s="1"/>
  <c r="G20" i="1"/>
  <c r="K20" i="1" s="1"/>
  <c r="AD19" i="1"/>
  <c r="AC19" i="1"/>
  <c r="W19" i="1"/>
  <c r="Z19" i="1" s="1"/>
  <c r="V19" i="1"/>
  <c r="AA19" i="1" s="1"/>
  <c r="U19" i="1"/>
  <c r="S19" i="1"/>
  <c r="T19" i="1" s="1"/>
  <c r="R19" i="1"/>
  <c r="Q19" i="1"/>
  <c r="O19" i="1"/>
  <c r="L19" i="1"/>
  <c r="M19" i="1" s="1"/>
  <c r="N19" i="1" s="1"/>
  <c r="P19" i="1" s="1"/>
  <c r="AB19" i="1" s="1"/>
  <c r="G19" i="1"/>
  <c r="AD18" i="1"/>
  <c r="AC18" i="1"/>
  <c r="W18" i="1"/>
  <c r="Z18" i="1" s="1"/>
  <c r="V18" i="1"/>
  <c r="AA18" i="1" s="1"/>
  <c r="U18" i="1"/>
  <c r="S18" i="1"/>
  <c r="X18" i="1" s="1"/>
  <c r="R18" i="1"/>
  <c r="Q18" i="1"/>
  <c r="O18" i="1"/>
  <c r="L18" i="1"/>
  <c r="M18" i="1" s="1"/>
  <c r="N18" i="1" s="1"/>
  <c r="P18" i="1" s="1"/>
  <c r="AB18" i="1" s="1"/>
  <c r="G18" i="1"/>
  <c r="K18" i="1" s="1"/>
  <c r="AD17" i="1"/>
  <c r="AC17" i="1"/>
  <c r="W17" i="1"/>
  <c r="Z17" i="1" s="1"/>
  <c r="V17" i="1"/>
  <c r="AA17" i="1" s="1"/>
  <c r="U17" i="1"/>
  <c r="S17" i="1"/>
  <c r="R17" i="1"/>
  <c r="Q17" i="1"/>
  <c r="O17" i="1"/>
  <c r="L17" i="1"/>
  <c r="M17" i="1" s="1"/>
  <c r="N17" i="1" s="1"/>
  <c r="P17" i="1" s="1"/>
  <c r="AB17" i="1" s="1"/>
  <c r="G17" i="1"/>
  <c r="H17" i="1" s="1"/>
  <c r="R16" i="1"/>
  <c r="Q16" i="1"/>
  <c r="E16" i="1"/>
  <c r="V16" i="1" s="1"/>
  <c r="AA16" i="1" s="1"/>
  <c r="D16" i="1"/>
  <c r="AD15" i="1"/>
  <c r="AC15" i="1"/>
  <c r="W15" i="1"/>
  <c r="Z15" i="1" s="1"/>
  <c r="V15" i="1"/>
  <c r="AA15" i="1" s="1"/>
  <c r="U15" i="1"/>
  <c r="S15" i="1"/>
  <c r="T15" i="1" s="1"/>
  <c r="R15" i="1"/>
  <c r="Q15" i="1"/>
  <c r="O15" i="1"/>
  <c r="L15" i="1"/>
  <c r="M15" i="1" s="1"/>
  <c r="N15" i="1" s="1"/>
  <c r="P15" i="1" s="1"/>
  <c r="AB15" i="1" s="1"/>
  <c r="G15" i="1"/>
  <c r="H15" i="1" s="1"/>
  <c r="AD14" i="1"/>
  <c r="AC14" i="1"/>
  <c r="W14" i="1"/>
  <c r="Z14" i="1" s="1"/>
  <c r="V14" i="1"/>
  <c r="AA14" i="1" s="1"/>
  <c r="U14" i="1"/>
  <c r="S14" i="1"/>
  <c r="T14" i="1" s="1"/>
  <c r="R14" i="1"/>
  <c r="Q14" i="1"/>
  <c r="O14" i="1"/>
  <c r="L14" i="1"/>
  <c r="M14" i="1" s="1"/>
  <c r="N14" i="1" s="1"/>
  <c r="P14" i="1" s="1"/>
  <c r="AB14" i="1" s="1"/>
  <c r="G14" i="1"/>
  <c r="I14" i="1" s="1"/>
  <c r="AD13" i="1"/>
  <c r="AC13" i="1"/>
  <c r="W13" i="1"/>
  <c r="Z13" i="1" s="1"/>
  <c r="V13" i="1"/>
  <c r="AA13" i="1" s="1"/>
  <c r="U13" i="1"/>
  <c r="S13" i="1"/>
  <c r="T13" i="1" s="1"/>
  <c r="R13" i="1"/>
  <c r="Q13" i="1"/>
  <c r="O13" i="1"/>
  <c r="L13" i="1"/>
  <c r="M13" i="1" s="1"/>
  <c r="N13" i="1" s="1"/>
  <c r="P13" i="1" s="1"/>
  <c r="AB13" i="1" s="1"/>
  <c r="G13" i="1"/>
  <c r="K13" i="1" s="1"/>
  <c r="AD12" i="1"/>
  <c r="AC12" i="1"/>
  <c r="W12" i="1"/>
  <c r="Z12" i="1" s="1"/>
  <c r="V12" i="1"/>
  <c r="AA12" i="1" s="1"/>
  <c r="U12" i="1"/>
  <c r="S12" i="1"/>
  <c r="X12" i="1" s="1"/>
  <c r="R12" i="1"/>
  <c r="Q12" i="1"/>
  <c r="O12" i="1"/>
  <c r="L12" i="1"/>
  <c r="M12" i="1" s="1"/>
  <c r="N12" i="1" s="1"/>
  <c r="P12" i="1" s="1"/>
  <c r="AB12" i="1" s="1"/>
  <c r="G12" i="1"/>
  <c r="H12" i="1" s="1"/>
  <c r="AD11" i="1"/>
  <c r="AC11" i="1"/>
  <c r="W11" i="1"/>
  <c r="Z11" i="1" s="1"/>
  <c r="V11" i="1"/>
  <c r="AA11" i="1" s="1"/>
  <c r="U11" i="1"/>
  <c r="S11" i="1"/>
  <c r="X11" i="1" s="1"/>
  <c r="R11" i="1"/>
  <c r="Q11" i="1"/>
  <c r="O11" i="1"/>
  <c r="L11" i="1"/>
  <c r="M11" i="1" s="1"/>
  <c r="N11" i="1" s="1"/>
  <c r="G11" i="1"/>
  <c r="I11" i="1" s="1"/>
  <c r="AD10" i="1"/>
  <c r="AC10" i="1"/>
  <c r="W10" i="1"/>
  <c r="Z10" i="1" s="1"/>
  <c r="V10" i="1"/>
  <c r="AA10" i="1" s="1"/>
  <c r="U10" i="1"/>
  <c r="S10" i="1"/>
  <c r="X10" i="1" s="1"/>
  <c r="R10" i="1"/>
  <c r="Q10" i="1"/>
  <c r="O10" i="1"/>
  <c r="L10" i="1"/>
  <c r="M10" i="1" s="1"/>
  <c r="N10" i="1" s="1"/>
  <c r="P10" i="1" s="1"/>
  <c r="AB10" i="1" s="1"/>
  <c r="G10" i="1"/>
  <c r="K10" i="1" s="1"/>
  <c r="AD9" i="1"/>
  <c r="AC9" i="1"/>
  <c r="W9" i="1"/>
  <c r="Z9" i="1" s="1"/>
  <c r="V9" i="1"/>
  <c r="AA9" i="1" s="1"/>
  <c r="U9" i="1"/>
  <c r="S9" i="1"/>
  <c r="T9" i="1" s="1"/>
  <c r="R9" i="1"/>
  <c r="Q9" i="1"/>
  <c r="O9" i="1"/>
  <c r="L9" i="1"/>
  <c r="M9" i="1" s="1"/>
  <c r="N9" i="1" s="1"/>
  <c r="G9" i="1"/>
  <c r="K9" i="1" s="1"/>
  <c r="AD8" i="1"/>
  <c r="AC8" i="1"/>
  <c r="W8" i="1"/>
  <c r="Z8" i="1" s="1"/>
  <c r="V8" i="1"/>
  <c r="AA8" i="1" s="1"/>
  <c r="U8" i="1"/>
  <c r="S8" i="1"/>
  <c r="X8" i="1" s="1"/>
  <c r="R8" i="1"/>
  <c r="Q8" i="1"/>
  <c r="O8" i="1"/>
  <c r="L8" i="1"/>
  <c r="M8" i="1" s="1"/>
  <c r="N8" i="1" s="1"/>
  <c r="P8" i="1" s="1"/>
  <c r="AB8" i="1" s="1"/>
  <c r="G8" i="1"/>
  <c r="I8" i="1" s="1"/>
  <c r="AD7" i="1"/>
  <c r="AC7" i="1"/>
  <c r="W7" i="1"/>
  <c r="Z7" i="1" s="1"/>
  <c r="V7" i="1"/>
  <c r="AA7" i="1" s="1"/>
  <c r="U7" i="1"/>
  <c r="S7" i="1"/>
  <c r="X7" i="1" s="1"/>
  <c r="R7" i="1"/>
  <c r="Q7" i="1"/>
  <c r="O7" i="1"/>
  <c r="L7" i="1"/>
  <c r="M7" i="1" s="1"/>
  <c r="N7" i="1" s="1"/>
  <c r="P7" i="1" s="1"/>
  <c r="AB7" i="1" s="1"/>
  <c r="G7" i="1"/>
  <c r="K7" i="1" s="1"/>
  <c r="AD6" i="1"/>
  <c r="AC6" i="1"/>
  <c r="W6" i="1"/>
  <c r="Z6" i="1" s="1"/>
  <c r="V6" i="1"/>
  <c r="AA6" i="1" s="1"/>
  <c r="U6" i="1"/>
  <c r="S6" i="1"/>
  <c r="T6" i="1" s="1"/>
  <c r="R6" i="1"/>
  <c r="Q6" i="1"/>
  <c r="O6" i="1"/>
  <c r="L6" i="1"/>
  <c r="M6" i="1" s="1"/>
  <c r="N6" i="1" s="1"/>
  <c r="P6" i="1" s="1"/>
  <c r="AB6" i="1" s="1"/>
  <c r="G6" i="1"/>
  <c r="K6" i="1" s="1"/>
  <c r="AD5" i="1"/>
  <c r="AC5" i="1"/>
  <c r="W5" i="1"/>
  <c r="Z5" i="1" s="1"/>
  <c r="V5" i="1"/>
  <c r="AA5" i="1" s="1"/>
  <c r="U5" i="1"/>
  <c r="S5" i="1"/>
  <c r="X5" i="1" s="1"/>
  <c r="R5" i="1"/>
  <c r="Q5" i="1"/>
  <c r="O5" i="1"/>
  <c r="L5" i="1"/>
  <c r="M5" i="1" s="1"/>
  <c r="N5" i="1" s="1"/>
  <c r="P5" i="1" s="1"/>
  <c r="AB5" i="1" s="1"/>
  <c r="G5" i="1"/>
  <c r="K5" i="1" s="1"/>
  <c r="AD4" i="1"/>
  <c r="AC4" i="1"/>
  <c r="W4" i="1"/>
  <c r="Z4" i="1" s="1"/>
  <c r="V4" i="1"/>
  <c r="AA4" i="1" s="1"/>
  <c r="U4" i="1"/>
  <c r="S4" i="1"/>
  <c r="R4" i="1"/>
  <c r="Q4" i="1"/>
  <c r="O4" i="1"/>
  <c r="L4" i="1"/>
  <c r="M4" i="1" s="1"/>
  <c r="N4" i="1" s="1"/>
  <c r="G4" i="1"/>
  <c r="H4" i="1" s="1"/>
  <c r="AD3" i="1"/>
  <c r="AC3" i="1"/>
  <c r="W3" i="1"/>
  <c r="Z3" i="1" s="1"/>
  <c r="V3" i="1"/>
  <c r="AA3" i="1" s="1"/>
  <c r="U3" i="1"/>
  <c r="S3" i="1"/>
  <c r="X3" i="1" s="1"/>
  <c r="R3" i="1"/>
  <c r="Q3" i="1"/>
  <c r="O3" i="1"/>
  <c r="L3" i="1"/>
  <c r="M3" i="1" s="1"/>
  <c r="N3" i="1" s="1"/>
  <c r="P3" i="1" s="1"/>
  <c r="AB3" i="1" s="1"/>
  <c r="G3" i="1"/>
  <c r="I3" i="1" s="1"/>
  <c r="AD2" i="1"/>
  <c r="AC2" i="1"/>
  <c r="W2" i="1"/>
  <c r="Z2" i="1" s="1"/>
  <c r="V2" i="1"/>
  <c r="AA2" i="1" s="1"/>
  <c r="U2" i="1"/>
  <c r="S2" i="1"/>
  <c r="T2" i="1" s="1"/>
  <c r="R2" i="1"/>
  <c r="Q2" i="1"/>
  <c r="O2" i="1"/>
  <c r="L2" i="1"/>
  <c r="M2" i="1" s="1"/>
  <c r="N2" i="1" s="1"/>
  <c r="P2" i="1" s="1"/>
  <c r="AB2" i="1" s="1"/>
  <c r="G2" i="1"/>
  <c r="H2" i="1" s="1"/>
  <c r="C2" i="1"/>
  <c r="B2" i="1"/>
  <c r="P54" i="2" l="1"/>
  <c r="H54" i="2"/>
  <c r="K54" i="2"/>
  <c r="K70" i="2"/>
  <c r="H70" i="2"/>
  <c r="I70" i="2"/>
  <c r="X70" i="2"/>
  <c r="T70" i="2"/>
  <c r="X54" i="2"/>
  <c r="T54" i="2"/>
  <c r="I54" i="2"/>
  <c r="P70" i="2"/>
  <c r="I17" i="1"/>
  <c r="X22" i="1"/>
  <c r="AD27" i="1"/>
  <c r="I19" i="1"/>
  <c r="P4" i="1"/>
  <c r="AB4" i="1" s="1"/>
  <c r="P22" i="1"/>
  <c r="AB22" i="1" s="1"/>
  <c r="P34" i="1"/>
  <c r="AB34" i="1" s="1"/>
  <c r="H3" i="1"/>
  <c r="K3" i="1"/>
  <c r="T30" i="1"/>
  <c r="K11" i="1"/>
  <c r="P31" i="1"/>
  <c r="AB31" i="1" s="1"/>
  <c r="H11" i="1"/>
  <c r="T5" i="1"/>
  <c r="T25" i="1"/>
  <c r="X28" i="1"/>
  <c r="H29" i="1"/>
  <c r="P9" i="1"/>
  <c r="AB9" i="1" s="1"/>
  <c r="I29" i="1"/>
  <c r="T31" i="1"/>
  <c r="P11" i="1"/>
  <c r="AB11" i="1" s="1"/>
  <c r="X15" i="1"/>
  <c r="K33" i="1"/>
  <c r="T36" i="1"/>
  <c r="S16" i="1"/>
  <c r="X16" i="1" s="1"/>
  <c r="U16" i="1"/>
  <c r="X9" i="1"/>
  <c r="I37" i="1"/>
  <c r="P37" i="1"/>
  <c r="AB37" i="1" s="1"/>
  <c r="X35" i="1"/>
  <c r="O16" i="1"/>
  <c r="X38" i="1"/>
  <c r="H24" i="1"/>
  <c r="X6" i="1"/>
  <c r="I24" i="1"/>
  <c r="X14" i="1"/>
  <c r="AC16" i="1"/>
  <c r="G16" i="1"/>
  <c r="I4" i="1"/>
  <c r="W16" i="1"/>
  <c r="Z16" i="1" s="1"/>
  <c r="T34" i="1"/>
  <c r="K37" i="1"/>
  <c r="X2" i="1"/>
  <c r="V27" i="1"/>
  <c r="AA27" i="1" s="1"/>
  <c r="I35" i="1"/>
  <c r="T18" i="1"/>
  <c r="AD16" i="1"/>
  <c r="X19" i="1"/>
  <c r="W27" i="1"/>
  <c r="Z27" i="1" s="1"/>
  <c r="L16" i="1"/>
  <c r="M16" i="1" s="1"/>
  <c r="N16" i="1" s="1"/>
  <c r="K4" i="1"/>
  <c r="T12" i="1"/>
  <c r="I30" i="1"/>
  <c r="K17" i="1"/>
  <c r="AC27" i="1"/>
  <c r="T37" i="1"/>
  <c r="H32" i="1"/>
  <c r="I32" i="1"/>
  <c r="H22" i="1"/>
  <c r="I9" i="1"/>
  <c r="I22" i="1"/>
  <c r="X13" i="1"/>
  <c r="X26" i="1"/>
  <c r="K28" i="1"/>
  <c r="H31" i="1"/>
  <c r="K2" i="1"/>
  <c r="H18" i="1"/>
  <c r="I31" i="1"/>
  <c r="T32" i="1"/>
  <c r="I5" i="1"/>
  <c r="K8" i="1"/>
  <c r="K21" i="1"/>
  <c r="H19" i="1"/>
  <c r="X4" i="1"/>
  <c r="T10" i="1"/>
  <c r="I12" i="1"/>
  <c r="X20" i="1"/>
  <c r="I15" i="1"/>
  <c r="X23" i="1"/>
  <c r="T3" i="1"/>
  <c r="K14" i="1"/>
  <c r="T17" i="1"/>
  <c r="H6" i="1"/>
  <c r="T7" i="1"/>
  <c r="H9" i="1"/>
  <c r="T39" i="1"/>
  <c r="I25" i="1"/>
  <c r="H28" i="1"/>
  <c r="T29" i="1"/>
  <c r="I2" i="1"/>
  <c r="H14" i="1"/>
  <c r="H30" i="1"/>
  <c r="T4" i="1"/>
  <c r="I6" i="1"/>
  <c r="K19" i="1"/>
  <c r="X17" i="1"/>
  <c r="K35" i="1"/>
  <c r="X33" i="1"/>
  <c r="K38" i="1"/>
  <c r="K12" i="1"/>
  <c r="G27" i="1"/>
  <c r="L27" i="1"/>
  <c r="M27" i="1" s="1"/>
  <c r="N27" i="1" s="1"/>
  <c r="H36" i="1"/>
  <c r="H25" i="1"/>
  <c r="I38" i="1"/>
  <c r="K15" i="1"/>
  <c r="H7" i="1"/>
  <c r="H20" i="1"/>
  <c r="I33" i="1"/>
  <c r="I7" i="1"/>
  <c r="T8" i="1"/>
  <c r="I20" i="1"/>
  <c r="T21" i="1"/>
  <c r="O27" i="1"/>
  <c r="H10" i="1"/>
  <c r="I36" i="1"/>
  <c r="H39" i="1"/>
  <c r="H26" i="1"/>
  <c r="I39" i="1"/>
  <c r="H23" i="1"/>
  <c r="I10" i="1"/>
  <c r="T11" i="1"/>
  <c r="I23" i="1"/>
  <c r="T24" i="1"/>
  <c r="H13" i="1"/>
  <c r="I26" i="1"/>
  <c r="I13" i="1"/>
  <c r="S27" i="1"/>
  <c r="H35" i="1"/>
  <c r="H34" i="1"/>
  <c r="H21" i="1"/>
  <c r="I34" i="1"/>
  <c r="H5" i="1"/>
  <c r="I18" i="1"/>
  <c r="H8" i="1"/>
  <c r="T16" i="1" l="1"/>
  <c r="I16" i="1"/>
  <c r="H16" i="1"/>
  <c r="K16" i="1"/>
  <c r="P16" i="1"/>
  <c r="AB16" i="1" s="1"/>
  <c r="P27" i="1"/>
  <c r="AB27" i="1" s="1"/>
  <c r="K27" i="1"/>
  <c r="I27" i="1"/>
  <c r="H27" i="1"/>
  <c r="T27" i="1"/>
  <c r="X27" i="1"/>
</calcChain>
</file>

<file path=xl/sharedStrings.xml><?xml version="1.0" encoding="utf-8"?>
<sst xmlns="http://schemas.openxmlformats.org/spreadsheetml/2006/main" count="284" uniqueCount="78">
  <si>
    <t>Object</t>
  </si>
  <si>
    <t>Mass (M☉) min</t>
  </si>
  <si>
    <t>Mass (M☉) max</t>
  </si>
  <si>
    <t>AVG. Mass (M☉)</t>
  </si>
  <si>
    <t>USED Mass (M☉)</t>
  </si>
  <si>
    <t>Radius (km)</t>
  </si>
  <si>
    <t>M/R</t>
  </si>
  <si>
    <t>1.476×(M/R) km</t>
  </si>
  <si>
    <t>(-c^2 + SQRT(c^4 + 4*α*g*c^2)) / (2*α)</t>
  </si>
  <si>
    <t>(X+Y−Z)*(M/R)</t>
  </si>
  <si>
    <t>Φtotal​=Φstruct​×Φrel​</t>
  </si>
  <si>
    <t>Pr My</t>
  </si>
  <si>
    <t>Co = M / R_ref (8.9 km)</t>
  </si>
  <si>
    <t>G4D = Pr − Co</t>
  </si>
  <si>
    <t>MIN G4D = Pr − Co</t>
  </si>
  <si>
    <t>MAX G4D = Pr − Co</t>
  </si>
  <si>
    <t>Surface gravity g (m/s²)</t>
  </si>
  <si>
    <t>R/g (s²)</t>
  </si>
  <si>
    <t>Vesc/c​​</t>
  </si>
  <si>
    <t>R / (3GM/c^2)</t>
  </si>
  <si>
    <t>Compactness (GR)</t>
  </si>
  <si>
    <t>log10(g)</t>
  </si>
  <si>
    <t>G4D Visibility</t>
  </si>
  <si>
    <t>GR Visibility</t>
  </si>
  <si>
    <t>R / (3GM/c^2) Visibility</t>
  </si>
  <si>
    <t>E=mc2</t>
  </si>
  <si>
    <t>E=GM^2/R</t>
  </si>
  <si>
    <t>TON 618</t>
  </si>
  <si>
    <t>Invisible</t>
  </si>
  <si>
    <t>Sagittarius A* (SMBH)</t>
  </si>
  <si>
    <t>NGC 6946-BH1 (post-collapse)</t>
  </si>
  <si>
    <t>Black Hole (10 M☉)</t>
  </si>
  <si>
    <t>M31-2014-DS1 (post-collapse)</t>
  </si>
  <si>
    <t>G3425 (Black Hole) M max</t>
  </si>
  <si>
    <t>G3425 (Black Hole) M min</t>
  </si>
  <si>
    <t>Post-merger HMNS (~3 M☉)</t>
  </si>
  <si>
    <t>Partial visible</t>
  </si>
  <si>
    <t>PSR J0952–0607 (Neutron Star)</t>
  </si>
  <si>
    <t>PSR J0740+6620</t>
  </si>
  <si>
    <t>RX J0720.4–3125</t>
  </si>
  <si>
    <t>PSR J0348+0432</t>
  </si>
  <si>
    <t>4U 1702–429</t>
  </si>
  <si>
    <t>PSR J1614–2230</t>
  </si>
  <si>
    <t>PSR B1957+20</t>
  </si>
  <si>
    <t>4U 1820–30</t>
  </si>
  <si>
    <t>XTE J1739−285</t>
  </si>
  <si>
    <t>PSR B1919+21</t>
  </si>
  <si>
    <t>Crab Pulsar (PSR B0531+21)</t>
  </si>
  <si>
    <t>RX J1856.5–3754</t>
  </si>
  <si>
    <t>Vela Pulsar (PSR B0833–45)</t>
  </si>
  <si>
    <t>Virgo Cluster</t>
  </si>
  <si>
    <t>visible</t>
  </si>
  <si>
    <t>M87 galaxy</t>
  </si>
  <si>
    <t>IC 1101</t>
  </si>
  <si>
    <t>HESS J1731–347</t>
  </si>
  <si>
    <t>25143 Itokawa</t>
  </si>
  <si>
    <t>Asteroid Bennu</t>
  </si>
  <si>
    <t>Moon</t>
  </si>
  <si>
    <t>White Dwarf (~1.2 M☉)</t>
  </si>
  <si>
    <t>Earth</t>
  </si>
  <si>
    <t>TMTS J0526B</t>
  </si>
  <si>
    <t>Jupiter</t>
  </si>
  <si>
    <t>Epsilon Indi B/C</t>
  </si>
  <si>
    <t>Sun</t>
  </si>
  <si>
    <t>300 M☉ Star</t>
  </si>
  <si>
    <t>Betelgeuse</t>
  </si>
  <si>
    <t>M31-2014-DS1 (pre-collapse)</t>
  </si>
  <si>
    <t>NGC 6946-BH1 (pre-collapse)</t>
  </si>
  <si>
    <t>Manual Visibility</t>
  </si>
  <si>
    <t>Φrel​</t>
  </si>
  <si>
    <t>X+Y−Z Φstruct</t>
  </si>
  <si>
    <t>Virtual – Sunset Start (G4D=0)</t>
  </si>
  <si>
    <t>Virtual – Mid Sunset (G4D=−0.25)</t>
  </si>
  <si>
    <t>Virtual – Full Invisibility (G4D=−0.30)</t>
  </si>
  <si>
    <t>Virtual – Full Invisibility (G4D=−0.25)</t>
  </si>
  <si>
    <t>Virtual – Full Invisibility (G4D=0)</t>
  </si>
  <si>
    <t>Virtual – Mid Sunset (G4D=−0.30)</t>
  </si>
  <si>
    <t>Virtual Compact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</si>
</sst>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€-2]\ #,##0.00_);[Red]\([$€-2]\ #,##0.00\)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0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1" fontId="3" fillId="0" borderId="6" xfId="0" applyNumberFormat="1" applyFont="1" applyBorder="1" applyAlignment="1">
      <alignment horizontal="center"/>
    </xf>
    <xf numFmtId="11" fontId="3" fillId="0" borderId="7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11" fontId="3" fillId="0" borderId="9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3" borderId="0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3" borderId="12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7" xfId="0" applyFont="1" applyBorder="1"/>
    <xf numFmtId="0" fontId="0" fillId="0" borderId="7" xfId="0" applyFont="1" applyBorder="1" applyAlignment="1">
      <alignment vertical="center" wrapText="1"/>
    </xf>
    <xf numFmtId="0" fontId="0" fillId="0" borderId="6" xfId="0" applyFont="1" applyBorder="1"/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0" xfId="0" applyFont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0" fillId="0" borderId="9" xfId="0" applyFont="1" applyBorder="1"/>
    <xf numFmtId="0" fontId="0" fillId="0" borderId="9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0" fillId="4" borderId="6" xfId="0" applyFont="1" applyFill="1" applyBorder="1"/>
    <xf numFmtId="0" fontId="0" fillId="4" borderId="12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1" fontId="3" fillId="4" borderId="6" xfId="0" applyNumberFormat="1" applyFont="1" applyFill="1" applyBorder="1" applyAlignment="1">
      <alignment horizontal="center"/>
    </xf>
    <xf numFmtId="0" fontId="0" fillId="4" borderId="7" xfId="0" applyFont="1" applyFill="1" applyBorder="1"/>
    <xf numFmtId="0" fontId="0" fillId="4" borderId="0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1" fontId="3" fillId="4" borderId="7" xfId="0" applyNumberFormat="1" applyFont="1" applyFill="1" applyBorder="1" applyAlignment="1">
      <alignment horizontal="center"/>
    </xf>
    <xf numFmtId="0" fontId="0" fillId="4" borderId="9" xfId="0" applyFont="1" applyFill="1" applyBorder="1"/>
    <xf numFmtId="0" fontId="0" fillId="4" borderId="10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11" fontId="3" fillId="4" borderId="9" xfId="0" applyNumberFormat="1" applyFont="1" applyFill="1" applyBorder="1" applyAlignment="1">
      <alignment horizontal="center"/>
    </xf>
    <xf numFmtId="0" fontId="6" fillId="4" borderId="7" xfId="0" applyFont="1" applyFill="1" applyBorder="1"/>
    <xf numFmtId="0" fontId="6" fillId="4" borderId="0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9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1" fontId="2" fillId="5" borderId="0" xfId="0" applyNumberFormat="1" applyFont="1" applyFill="1" applyBorder="1" applyAlignment="1">
      <alignment horizontal="center"/>
    </xf>
    <xf numFmtId="11" fontId="4" fillId="5" borderId="6" xfId="0" applyNumberFormat="1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1" fontId="4" fillId="5" borderId="7" xfId="0" applyNumberFormat="1" applyFont="1" applyFill="1" applyBorder="1" applyAlignment="1">
      <alignment horizontal="center"/>
    </xf>
    <xf numFmtId="11" fontId="3" fillId="5" borderId="6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left"/>
    </xf>
    <xf numFmtId="11" fontId="0" fillId="5" borderId="0" xfId="0" applyNumberFormat="1" applyFont="1" applyFill="1" applyBorder="1" applyAlignment="1">
      <alignment horizontal="center" vertical="center" wrapText="1"/>
    </xf>
    <xf numFmtId="11" fontId="4" fillId="5" borderId="0" xfId="0" applyNumberFormat="1" applyFont="1" applyFill="1" applyBorder="1" applyAlignment="1">
      <alignment horizontal="center"/>
    </xf>
    <xf numFmtId="11" fontId="3" fillId="5" borderId="7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left"/>
    </xf>
    <xf numFmtId="0" fontId="0" fillId="5" borderId="0" xfId="0" applyFont="1" applyFill="1" applyBorder="1" applyAlignment="1">
      <alignment horizontal="center" vertical="center" wrapText="1"/>
    </xf>
    <xf numFmtId="0" fontId="2" fillId="5" borderId="7" xfId="0" applyFont="1" applyFill="1" applyBorder="1"/>
    <xf numFmtId="0" fontId="0" fillId="0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164" fontId="7" fillId="0" borderId="7" xfId="0" applyNumberFormat="1" applyFont="1" applyFill="1" applyBorder="1" applyAlignment="1">
      <alignment horizontal="center"/>
    </xf>
    <xf numFmtId="0" fontId="2" fillId="0" borderId="13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2" fillId="0" borderId="15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164" fontId="7" fillId="0" borderId="9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164" fontId="7" fillId="0" borderId="6" xfId="0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0" fillId="0" borderId="11" xfId="0" applyFont="1" applyBorder="1"/>
    <xf numFmtId="0" fontId="0" fillId="0" borderId="13" xfId="0" applyFont="1" applyBorder="1"/>
    <xf numFmtId="0" fontId="7" fillId="0" borderId="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15" xfId="0" applyFont="1" applyBorder="1"/>
    <xf numFmtId="0" fontId="7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11" fontId="4" fillId="5" borderId="11" xfId="0" applyNumberFormat="1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7" xfId="0" applyFont="1" applyBorder="1" applyAlignment="1">
      <alignment vertical="center" wrapText="1"/>
    </xf>
    <xf numFmtId="0" fontId="6" fillId="4" borderId="6" xfId="0" applyFont="1" applyFill="1" applyBorder="1"/>
    <xf numFmtId="0" fontId="5" fillId="0" borderId="13" xfId="0" applyFont="1" applyFill="1" applyBorder="1" applyAlignment="1">
      <alignment horizontal="left"/>
    </xf>
    <xf numFmtId="0" fontId="2" fillId="0" borderId="9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" xfId="0" applyFont="1" applyBorder="1"/>
    <xf numFmtId="0" fontId="6" fillId="4" borderId="13" xfId="0" applyFont="1" applyFill="1" applyBorder="1"/>
    <xf numFmtId="0" fontId="2" fillId="4" borderId="7" xfId="0" applyFont="1" applyFill="1" applyBorder="1"/>
    <xf numFmtId="0" fontId="0" fillId="3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9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0" fillId="0" borderId="7" xfId="0" applyBorder="1"/>
    <xf numFmtId="11" fontId="3" fillId="4" borderId="0" xfId="0" applyNumberFormat="1" applyFont="1" applyFill="1" applyBorder="1" applyAlignment="1">
      <alignment horizontal="center"/>
    </xf>
    <xf numFmtId="0" fontId="0" fillId="0" borderId="9" xfId="0" applyBorder="1"/>
    <xf numFmtId="11" fontId="3" fillId="0" borderId="0" xfId="0" applyNumberFormat="1" applyFont="1" applyBorder="1" applyAlignment="1">
      <alignment horizontal="center"/>
    </xf>
    <xf numFmtId="0" fontId="0" fillId="0" borderId="6" xfId="0" applyBorder="1"/>
    <xf numFmtId="0" fontId="6" fillId="5" borderId="0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164" fontId="7" fillId="5" borderId="7" xfId="0" applyNumberFormat="1" applyFont="1" applyFill="1" applyBorder="1" applyAlignment="1">
      <alignment horizontal="center"/>
    </xf>
    <xf numFmtId="0" fontId="0" fillId="5" borderId="6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164" fontId="7" fillId="5" borderId="6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0" fillId="5" borderId="1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164" fontId="7" fillId="4" borderId="7" xfId="0" applyNumberFormat="1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 wrapText="1"/>
    </xf>
    <xf numFmtId="0" fontId="0" fillId="4" borderId="1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/>
    </xf>
    <xf numFmtId="164" fontId="7" fillId="4" borderId="9" xfId="0" applyNumberFormat="1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164" fontId="7" fillId="4" borderId="5" xfId="0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164" fontId="5" fillId="0" borderId="7" xfId="0" applyNumberFormat="1" applyFont="1" applyFill="1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164" fontId="5" fillId="0" borderId="9" xfId="0" applyNumberFormat="1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164" fontId="5" fillId="0" borderId="6" xfId="0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4</xdr:col>
      <xdr:colOff>304800</xdr:colOff>
      <xdr:row>15</xdr:row>
      <xdr:rowOff>107950</xdr:rowOff>
    </xdr:to>
    <xdr:sp macro="" textlink="">
      <xdr:nvSpPr>
        <xdr:cNvPr id="2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7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</xdr:colOff>
      <xdr:row>15</xdr:row>
      <xdr:rowOff>107950</xdr:rowOff>
    </xdr:to>
    <xdr:sp macro="" textlink="">
      <xdr:nvSpPr>
        <xdr:cNvPr id="3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7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304800</xdr:colOff>
      <xdr:row>14</xdr:row>
      <xdr:rowOff>107949</xdr:rowOff>
    </xdr:to>
    <xdr:sp macro="" textlink="">
      <xdr:nvSpPr>
        <xdr:cNvPr id="4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54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107949</xdr:rowOff>
    </xdr:to>
    <xdr:sp macro="" textlink="">
      <xdr:nvSpPr>
        <xdr:cNvPr id="5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54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304800</xdr:colOff>
      <xdr:row>16</xdr:row>
      <xdr:rowOff>107950</xdr:rowOff>
    </xdr:to>
    <xdr:sp macro="" textlink="">
      <xdr:nvSpPr>
        <xdr:cNvPr id="6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107950</xdr:rowOff>
    </xdr:to>
    <xdr:sp macro="" textlink="">
      <xdr:nvSpPr>
        <xdr:cNvPr id="7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17</xdr:row>
      <xdr:rowOff>107951</xdr:rowOff>
    </xdr:to>
    <xdr:sp macro="" textlink="">
      <xdr:nvSpPr>
        <xdr:cNvPr id="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130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107951</xdr:rowOff>
    </xdr:to>
    <xdr:sp macro="" textlink="">
      <xdr:nvSpPr>
        <xdr:cNvPr id="9" name="AutoShape 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1305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304800</xdr:colOff>
      <xdr:row>21</xdr:row>
      <xdr:rowOff>115421</xdr:rowOff>
    </xdr:to>
    <xdr:sp macro="" textlink="">
      <xdr:nvSpPr>
        <xdr:cNvPr id="10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9052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304800</xdr:colOff>
      <xdr:row>21</xdr:row>
      <xdr:rowOff>115421</xdr:rowOff>
    </xdr:to>
    <xdr:sp macro="" textlink="">
      <xdr:nvSpPr>
        <xdr:cNvPr id="11" name="AutoShape 1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9052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304800</xdr:colOff>
      <xdr:row>19</xdr:row>
      <xdr:rowOff>107950</xdr:rowOff>
    </xdr:to>
    <xdr:sp macro="" textlink="">
      <xdr:nvSpPr>
        <xdr:cNvPr id="12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304800</xdr:colOff>
      <xdr:row>19</xdr:row>
      <xdr:rowOff>107950</xdr:rowOff>
    </xdr:to>
    <xdr:sp macro="" textlink="">
      <xdr:nvSpPr>
        <xdr:cNvPr id="13" name="AutoShape 1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304800</xdr:colOff>
      <xdr:row>20</xdr:row>
      <xdr:rowOff>115421</xdr:rowOff>
    </xdr:to>
    <xdr:sp macro="" textlink="">
      <xdr:nvSpPr>
        <xdr:cNvPr id="14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115421</xdr:rowOff>
    </xdr:to>
    <xdr:sp macro="" textlink="">
      <xdr:nvSpPr>
        <xdr:cNvPr id="15" name="AutoShape 1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304800</xdr:colOff>
      <xdr:row>25</xdr:row>
      <xdr:rowOff>109070</xdr:rowOff>
    </xdr:to>
    <xdr:sp macro="" textlink="">
      <xdr:nvSpPr>
        <xdr:cNvPr id="16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304800</xdr:colOff>
      <xdr:row>25</xdr:row>
      <xdr:rowOff>109070</xdr:rowOff>
    </xdr:to>
    <xdr:sp macro="" textlink="">
      <xdr:nvSpPr>
        <xdr:cNvPr id="17" name="AutoShape 1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12</xdr:row>
      <xdr:rowOff>107950</xdr:rowOff>
    </xdr:to>
    <xdr:sp macro="" textlink="">
      <xdr:nvSpPr>
        <xdr:cNvPr id="18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304800</xdr:colOff>
      <xdr:row>12</xdr:row>
      <xdr:rowOff>107950</xdr:rowOff>
    </xdr:to>
    <xdr:sp macro="" textlink="">
      <xdr:nvSpPr>
        <xdr:cNvPr id="19" name="AutoShape 1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304800</xdr:colOff>
      <xdr:row>26</xdr:row>
      <xdr:rowOff>115421</xdr:rowOff>
    </xdr:to>
    <xdr:sp macro="" textlink="">
      <xdr:nvSpPr>
        <xdr:cNvPr id="20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304800</xdr:colOff>
      <xdr:row>26</xdr:row>
      <xdr:rowOff>115421</xdr:rowOff>
    </xdr:to>
    <xdr:sp macro="" textlink="">
      <xdr:nvSpPr>
        <xdr:cNvPr id="21" name="AutoShape 2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42799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22" name="AutoShape 2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0</xdr:rowOff>
    </xdr:from>
    <xdr:to>
      <xdr:col>12</xdr:col>
      <xdr:colOff>654050</xdr:colOff>
      <xdr:row>20</xdr:row>
      <xdr:rowOff>107949</xdr:rowOff>
    </xdr:to>
    <xdr:sp macro="" textlink="">
      <xdr:nvSpPr>
        <xdr:cNvPr id="23" name="AutoShape 2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24" name="AutoShape 2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0</xdr:rowOff>
    </xdr:from>
    <xdr:to>
      <xdr:col>12</xdr:col>
      <xdr:colOff>654050</xdr:colOff>
      <xdr:row>20</xdr:row>
      <xdr:rowOff>107949</xdr:rowOff>
    </xdr:to>
    <xdr:sp macro="" textlink="">
      <xdr:nvSpPr>
        <xdr:cNvPr id="25" name="AutoShape 2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26" name="AutoShape 2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17</xdr:row>
      <xdr:rowOff>0</xdr:rowOff>
    </xdr:from>
    <xdr:to>
      <xdr:col>12</xdr:col>
      <xdr:colOff>654050</xdr:colOff>
      <xdr:row>20</xdr:row>
      <xdr:rowOff>107949</xdr:rowOff>
    </xdr:to>
    <xdr:sp macro="" textlink="">
      <xdr:nvSpPr>
        <xdr:cNvPr id="27" name="AutoShape 2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28" name="AutoShape 2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29" name="AutoShape 2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0" name="AutoShape 2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31" name="AutoShape 3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2" name="AutoShape 3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33" name="AutoShape 3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4" name="AutoShape 3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35" name="AutoShape 3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6" name="AutoShape 3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37" name="AutoShape 3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4089400"/>
          <a:ext cx="304800" cy="29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12</xdr:col>
      <xdr:colOff>654050</xdr:colOff>
      <xdr:row>20</xdr:row>
      <xdr:rowOff>115421</xdr:rowOff>
    </xdr:to>
    <xdr:sp macro="" textlink="">
      <xdr:nvSpPr>
        <xdr:cNvPr id="38" name="AutoShape 3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7211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39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0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41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42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340360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4800"/>
    <xdr:sp macro="" textlink="">
      <xdr:nvSpPr>
        <xdr:cNvPr id="43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5259050" y="3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4800"/>
    <xdr:sp macro="" textlink="">
      <xdr:nvSpPr>
        <xdr:cNvPr id="44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3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4800"/>
    <xdr:sp macro="" textlink="">
      <xdr:nvSpPr>
        <xdr:cNvPr id="4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7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4800"/>
    <xdr:sp macro="" textlink="">
      <xdr:nvSpPr>
        <xdr:cNvPr id="47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9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48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1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49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9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4800"/>
    <xdr:sp macro="" textlink="">
      <xdr:nvSpPr>
        <xdr:cNvPr id="50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51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37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52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53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4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55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56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266950" y="42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52</xdr:row>
      <xdr:rowOff>0</xdr:rowOff>
    </xdr:from>
    <xdr:to>
      <xdr:col>4</xdr:col>
      <xdr:colOff>304800</xdr:colOff>
      <xdr:row>53</xdr:row>
      <xdr:rowOff>101600</xdr:rowOff>
    </xdr:to>
    <xdr:sp macro="" textlink="">
      <xdr:nvSpPr>
        <xdr:cNvPr id="1300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590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304800</xdr:colOff>
      <xdr:row>53</xdr:row>
      <xdr:rowOff>101600</xdr:rowOff>
    </xdr:to>
    <xdr:sp macro="" textlink="">
      <xdr:nvSpPr>
        <xdr:cNvPr id="1301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5908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304800</xdr:colOff>
      <xdr:row>52</xdr:row>
      <xdr:rowOff>107949</xdr:rowOff>
    </xdr:to>
    <xdr:sp macro="" textlink="">
      <xdr:nvSpPr>
        <xdr:cNvPr id="1302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406650"/>
          <a:ext cx="304800" cy="29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304800</xdr:colOff>
      <xdr:row>52</xdr:row>
      <xdr:rowOff>107949</xdr:rowOff>
    </xdr:to>
    <xdr:sp macro="" textlink="">
      <xdr:nvSpPr>
        <xdr:cNvPr id="1303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406650"/>
          <a:ext cx="304800" cy="29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304800</xdr:colOff>
      <xdr:row>54</xdr:row>
      <xdr:rowOff>101600</xdr:rowOff>
    </xdr:to>
    <xdr:sp macro="" textlink="">
      <xdr:nvSpPr>
        <xdr:cNvPr id="1304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77495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304800</xdr:colOff>
      <xdr:row>54</xdr:row>
      <xdr:rowOff>101600</xdr:rowOff>
    </xdr:to>
    <xdr:sp macro="" textlink="">
      <xdr:nvSpPr>
        <xdr:cNvPr id="1305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77495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304800</xdr:colOff>
      <xdr:row>55</xdr:row>
      <xdr:rowOff>107951</xdr:rowOff>
    </xdr:to>
    <xdr:sp macro="" textlink="">
      <xdr:nvSpPr>
        <xdr:cNvPr id="1306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959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304800</xdr:colOff>
      <xdr:row>55</xdr:row>
      <xdr:rowOff>107951</xdr:rowOff>
    </xdr:to>
    <xdr:sp macro="" textlink="">
      <xdr:nvSpPr>
        <xdr:cNvPr id="1307" name="AutoShape 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959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115421</xdr:rowOff>
    </xdr:to>
    <xdr:sp macro="" textlink="">
      <xdr:nvSpPr>
        <xdr:cNvPr id="1308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6957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304800</xdr:colOff>
      <xdr:row>61</xdr:row>
      <xdr:rowOff>115421</xdr:rowOff>
    </xdr:to>
    <xdr:sp macro="" textlink="">
      <xdr:nvSpPr>
        <xdr:cNvPr id="1309" name="AutoShape 1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369570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304800</xdr:colOff>
      <xdr:row>58</xdr:row>
      <xdr:rowOff>107950</xdr:rowOff>
    </xdr:to>
    <xdr:sp macro="" textlink="">
      <xdr:nvSpPr>
        <xdr:cNvPr id="1310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3274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304800</xdr:colOff>
      <xdr:row>58</xdr:row>
      <xdr:rowOff>107950</xdr:rowOff>
    </xdr:to>
    <xdr:sp macro="" textlink="">
      <xdr:nvSpPr>
        <xdr:cNvPr id="1311" name="AutoShape 1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33274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304800</xdr:colOff>
      <xdr:row>59</xdr:row>
      <xdr:rowOff>115421</xdr:rowOff>
    </xdr:to>
    <xdr:sp macro="" textlink="">
      <xdr:nvSpPr>
        <xdr:cNvPr id="1312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5115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304800</xdr:colOff>
      <xdr:row>59</xdr:row>
      <xdr:rowOff>115421</xdr:rowOff>
    </xdr:to>
    <xdr:sp macro="" textlink="">
      <xdr:nvSpPr>
        <xdr:cNvPr id="1313" name="AutoShape 1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35115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66</xdr:row>
      <xdr:rowOff>121770</xdr:rowOff>
    </xdr:to>
    <xdr:sp macro="" textlink="">
      <xdr:nvSpPr>
        <xdr:cNvPr id="1314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304800</xdr:colOff>
      <xdr:row>66</xdr:row>
      <xdr:rowOff>121770</xdr:rowOff>
    </xdr:to>
    <xdr:sp macro="" textlink="">
      <xdr:nvSpPr>
        <xdr:cNvPr id="1315" name="AutoShape 1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304800</xdr:colOff>
      <xdr:row>50</xdr:row>
      <xdr:rowOff>101600</xdr:rowOff>
    </xdr:to>
    <xdr:sp macro="" textlink="">
      <xdr:nvSpPr>
        <xdr:cNvPr id="1316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03835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304800</xdr:colOff>
      <xdr:row>50</xdr:row>
      <xdr:rowOff>101600</xdr:rowOff>
    </xdr:to>
    <xdr:sp macro="" textlink="">
      <xdr:nvSpPr>
        <xdr:cNvPr id="1317" name="AutoShape 1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03835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115421</xdr:rowOff>
    </xdr:to>
    <xdr:sp macro="" textlink="">
      <xdr:nvSpPr>
        <xdr:cNvPr id="1318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46291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304800</xdr:colOff>
      <xdr:row>67</xdr:row>
      <xdr:rowOff>115421</xdr:rowOff>
    </xdr:to>
    <xdr:sp macro="" textlink="">
      <xdr:nvSpPr>
        <xdr:cNvPr id="1319" name="AutoShape 2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4629150"/>
          <a:ext cx="3048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1320" name="AutoShape 2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143250"/>
          <a:ext cx="3048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0</xdr:rowOff>
    </xdr:from>
    <xdr:to>
      <xdr:col>12</xdr:col>
      <xdr:colOff>349250</xdr:colOff>
      <xdr:row>59</xdr:row>
      <xdr:rowOff>107949</xdr:rowOff>
    </xdr:to>
    <xdr:sp macro="" textlink="">
      <xdr:nvSpPr>
        <xdr:cNvPr id="1321" name="AutoShape 2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143250"/>
          <a:ext cx="15240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1322" name="AutoShape 2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143250"/>
          <a:ext cx="3048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0</xdr:rowOff>
    </xdr:from>
    <xdr:to>
      <xdr:col>12</xdr:col>
      <xdr:colOff>349250</xdr:colOff>
      <xdr:row>59</xdr:row>
      <xdr:rowOff>107949</xdr:rowOff>
    </xdr:to>
    <xdr:sp macro="" textlink="">
      <xdr:nvSpPr>
        <xdr:cNvPr id="1323" name="AutoShape 2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143250"/>
          <a:ext cx="15240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20</xdr:row>
      <xdr:rowOff>107949</xdr:rowOff>
    </xdr:to>
    <xdr:sp macro="" textlink="">
      <xdr:nvSpPr>
        <xdr:cNvPr id="1324" name="AutoShape 2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143250"/>
          <a:ext cx="3048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56</xdr:row>
      <xdr:rowOff>0</xdr:rowOff>
    </xdr:from>
    <xdr:to>
      <xdr:col>12</xdr:col>
      <xdr:colOff>349250</xdr:colOff>
      <xdr:row>59</xdr:row>
      <xdr:rowOff>107949</xdr:rowOff>
    </xdr:to>
    <xdr:sp macro="" textlink="">
      <xdr:nvSpPr>
        <xdr:cNvPr id="1325" name="AutoShape 2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143250"/>
          <a:ext cx="1524000" cy="660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26" name="AutoShape 2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27" name="AutoShape 2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28" name="AutoShape 2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29" name="AutoShape 3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30" name="AutoShape 3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31" name="AutoShape 3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32" name="AutoShape 3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33" name="AutoShape 3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34" name="AutoShape 3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304800</xdr:colOff>
      <xdr:row>25</xdr:row>
      <xdr:rowOff>109070</xdr:rowOff>
    </xdr:to>
    <xdr:sp macro="" textlink="">
      <xdr:nvSpPr>
        <xdr:cNvPr id="1335" name="AutoShape 3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879850"/>
          <a:ext cx="304800" cy="858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58</xdr:row>
      <xdr:rowOff>0</xdr:rowOff>
    </xdr:from>
    <xdr:to>
      <xdr:col>12</xdr:col>
      <xdr:colOff>349250</xdr:colOff>
      <xdr:row>59</xdr:row>
      <xdr:rowOff>115421</xdr:rowOff>
    </xdr:to>
    <xdr:sp macro="" textlink="">
      <xdr:nvSpPr>
        <xdr:cNvPr id="1336" name="AutoShape 3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511550"/>
          <a:ext cx="1524000" cy="299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49</xdr:row>
      <xdr:rowOff>0</xdr:rowOff>
    </xdr:from>
    <xdr:ext cx="304800" cy="304800"/>
    <xdr:sp macro="" textlink="">
      <xdr:nvSpPr>
        <xdr:cNvPr id="1337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49</xdr:row>
      <xdr:rowOff>0</xdr:rowOff>
    </xdr:from>
    <xdr:ext cx="304800" cy="304800"/>
    <xdr:sp macro="" textlink="">
      <xdr:nvSpPr>
        <xdr:cNvPr id="1338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66</xdr:row>
      <xdr:rowOff>0</xdr:rowOff>
    </xdr:from>
    <xdr:ext cx="304800" cy="304800"/>
    <xdr:sp macro="" textlink="">
      <xdr:nvSpPr>
        <xdr:cNvPr id="1339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46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66</xdr:row>
      <xdr:rowOff>0</xdr:rowOff>
    </xdr:from>
    <xdr:ext cx="304800" cy="304800"/>
    <xdr:sp macro="" textlink="">
      <xdr:nvSpPr>
        <xdr:cNvPr id="1340" name="AutoShape 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2978150" y="46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4800"/>
    <xdr:sp macro="" textlink="">
      <xdr:nvSpPr>
        <xdr:cNvPr id="1341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128395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56</xdr:row>
      <xdr:rowOff>0</xdr:rowOff>
    </xdr:from>
    <xdr:ext cx="304800" cy="304800"/>
    <xdr:sp macro="" textlink="">
      <xdr:nvSpPr>
        <xdr:cNvPr id="1342" name="AutoShape 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4711700" y="31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52</xdr:row>
      <xdr:rowOff>0</xdr:rowOff>
    </xdr:from>
    <xdr:ext cx="304800" cy="304800"/>
    <xdr:sp macro="" textlink="">
      <xdr:nvSpPr>
        <xdr:cNvPr id="1343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51</xdr:row>
      <xdr:rowOff>0</xdr:rowOff>
    </xdr:from>
    <xdr:ext cx="304800" cy="304800"/>
    <xdr:sp macro="" textlink="">
      <xdr:nvSpPr>
        <xdr:cNvPr id="1344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4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53</xdr:row>
      <xdr:rowOff>0</xdr:rowOff>
    </xdr:from>
    <xdr:ext cx="304800" cy="304800"/>
    <xdr:sp macro="" textlink="">
      <xdr:nvSpPr>
        <xdr:cNvPr id="1345" name="AutoShape 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7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54</xdr:row>
      <xdr:rowOff>0</xdr:rowOff>
    </xdr:from>
    <xdr:ext cx="304800" cy="304800"/>
    <xdr:sp macro="" textlink="">
      <xdr:nvSpPr>
        <xdr:cNvPr id="1346" name="AutoShape 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60</xdr:row>
      <xdr:rowOff>0</xdr:rowOff>
    </xdr:from>
    <xdr:ext cx="304800" cy="304800"/>
    <xdr:sp macro="" textlink="">
      <xdr:nvSpPr>
        <xdr:cNvPr id="1347" name="AutoShape 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6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57</xdr:row>
      <xdr:rowOff>0</xdr:rowOff>
    </xdr:from>
    <xdr:ext cx="304800" cy="304800"/>
    <xdr:sp macro="" textlink="">
      <xdr:nvSpPr>
        <xdr:cNvPr id="1348" name="AutoShape 1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58</xdr:row>
      <xdr:rowOff>0</xdr:rowOff>
    </xdr:from>
    <xdr:ext cx="304800" cy="304800"/>
    <xdr:sp macro="" textlink="">
      <xdr:nvSpPr>
        <xdr:cNvPr id="1349" name="AutoShape 1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5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62</xdr:row>
      <xdr:rowOff>0</xdr:rowOff>
    </xdr:from>
    <xdr:ext cx="304800" cy="304800"/>
    <xdr:sp macro="" textlink="">
      <xdr:nvSpPr>
        <xdr:cNvPr id="1350" name="AutoShape 1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38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351" name="AutoShape 1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352" name="AutoShape 1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46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49</xdr:row>
      <xdr:rowOff>0</xdr:rowOff>
    </xdr:from>
    <xdr:ext cx="304800" cy="304800"/>
    <xdr:sp macro="" textlink="">
      <xdr:nvSpPr>
        <xdr:cNvPr id="1353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66</xdr:row>
      <xdr:rowOff>0</xdr:rowOff>
    </xdr:from>
    <xdr:ext cx="304800" cy="304800"/>
    <xdr:sp macro="" textlink="">
      <xdr:nvSpPr>
        <xdr:cNvPr id="1354" name="AutoShape 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879600" y="46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3" name="AutoShape 3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4" name="AutoShape 4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5" name="AutoShape 4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120650</xdr:rowOff>
    </xdr:to>
    <xdr:sp macro="" textlink="">
      <xdr:nvSpPr>
        <xdr:cNvPr id="2656" name="AutoShape 4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7" name="AutoShape 4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68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65</xdr:row>
      <xdr:rowOff>120650</xdr:rowOff>
    </xdr:to>
    <xdr:sp macro="" textlink="">
      <xdr:nvSpPr>
        <xdr:cNvPr id="26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0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65</xdr:row>
      <xdr:rowOff>120650</xdr:rowOff>
    </xdr:to>
    <xdr:sp macro="" textlink="">
      <xdr:nvSpPr>
        <xdr:cNvPr id="26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0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304800</xdr:colOff>
      <xdr:row>64</xdr:row>
      <xdr:rowOff>181535</xdr:rowOff>
    </xdr:to>
    <xdr:sp macro="" textlink="">
      <xdr:nvSpPr>
        <xdr:cNvPr id="26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245350"/>
          <a:ext cx="304800" cy="18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304800</xdr:colOff>
      <xdr:row>64</xdr:row>
      <xdr:rowOff>181535</xdr:rowOff>
    </xdr:to>
    <xdr:sp macro="" textlink="">
      <xdr:nvSpPr>
        <xdr:cNvPr id="26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245350"/>
          <a:ext cx="304800" cy="18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35</xdr:row>
      <xdr:rowOff>181535</xdr:rowOff>
    </xdr:to>
    <xdr:sp macro="" textlink="">
      <xdr:nvSpPr>
        <xdr:cNvPr id="266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429500"/>
          <a:ext cx="304800" cy="18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304800</xdr:colOff>
      <xdr:row>35</xdr:row>
      <xdr:rowOff>181535</xdr:rowOff>
    </xdr:to>
    <xdr:sp macro="" textlink="">
      <xdr:nvSpPr>
        <xdr:cNvPr id="266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429500"/>
          <a:ext cx="304800" cy="18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304800</xdr:colOff>
      <xdr:row>21</xdr:row>
      <xdr:rowOff>182656</xdr:rowOff>
    </xdr:to>
    <xdr:sp macro="" textlink="">
      <xdr:nvSpPr>
        <xdr:cNvPr id="266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981950"/>
          <a:ext cx="304800" cy="189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304800</xdr:colOff>
      <xdr:row>21</xdr:row>
      <xdr:rowOff>182656</xdr:rowOff>
    </xdr:to>
    <xdr:sp macro="" textlink="">
      <xdr:nvSpPr>
        <xdr:cNvPr id="266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981950"/>
          <a:ext cx="304800" cy="189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64</xdr:row>
      <xdr:rowOff>0</xdr:rowOff>
    </xdr:from>
    <xdr:ext cx="304800" cy="304800"/>
    <xdr:sp macro="" textlink="">
      <xdr:nvSpPr>
        <xdr:cNvPr id="266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2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64</xdr:row>
      <xdr:rowOff>0</xdr:rowOff>
    </xdr:from>
    <xdr:ext cx="304800" cy="304800"/>
    <xdr:sp macro="" textlink="">
      <xdr:nvSpPr>
        <xdr:cNvPr id="266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2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35</xdr:row>
      <xdr:rowOff>0</xdr:rowOff>
    </xdr:from>
    <xdr:ext cx="304800" cy="304800"/>
    <xdr:sp macro="" textlink="">
      <xdr:nvSpPr>
        <xdr:cNvPr id="26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04800"/>
    <xdr:sp macro="" textlink="">
      <xdr:nvSpPr>
        <xdr:cNvPr id="26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35</xdr:row>
      <xdr:rowOff>0</xdr:rowOff>
    </xdr:from>
    <xdr:ext cx="304800" cy="304800"/>
    <xdr:sp macro="" textlink="">
      <xdr:nvSpPr>
        <xdr:cNvPr id="26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04800"/>
    <xdr:sp macro="" textlink="">
      <xdr:nvSpPr>
        <xdr:cNvPr id="26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7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7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7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7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19</xdr:row>
      <xdr:rowOff>0</xdr:rowOff>
    </xdr:from>
    <xdr:ext cx="304800" cy="304800"/>
    <xdr:sp macro="" textlink="">
      <xdr:nvSpPr>
        <xdr:cNvPr id="26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</xdr:row>
      <xdr:rowOff>0</xdr:rowOff>
    </xdr:from>
    <xdr:ext cx="304800" cy="304800"/>
    <xdr:sp macro="" textlink="">
      <xdr:nvSpPr>
        <xdr:cNvPr id="26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</xdr:row>
      <xdr:rowOff>0</xdr:rowOff>
    </xdr:from>
    <xdr:ext cx="304800" cy="304800"/>
    <xdr:sp macro="" textlink="">
      <xdr:nvSpPr>
        <xdr:cNvPr id="268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9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304800" cy="304800"/>
    <xdr:sp macro="" textlink="">
      <xdr:nvSpPr>
        <xdr:cNvPr id="268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9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21</xdr:row>
      <xdr:rowOff>0</xdr:rowOff>
    </xdr:from>
    <xdr:ext cx="304800" cy="304800"/>
    <xdr:sp macro="" textlink="">
      <xdr:nvSpPr>
        <xdr:cNvPr id="26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9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21</xdr:row>
      <xdr:rowOff>0</xdr:rowOff>
    </xdr:from>
    <xdr:ext cx="304800" cy="304800"/>
    <xdr:sp macro="" textlink="">
      <xdr:nvSpPr>
        <xdr:cNvPr id="26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9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8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8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8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8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1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69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69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0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0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0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0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0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0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0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0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0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0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271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271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3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1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1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1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1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16</xdr:row>
      <xdr:rowOff>0</xdr:rowOff>
    </xdr:from>
    <xdr:ext cx="304800" cy="304800"/>
    <xdr:sp macro="" textlink="">
      <xdr:nvSpPr>
        <xdr:cNvPr id="271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16</xdr:row>
      <xdr:rowOff>0</xdr:rowOff>
    </xdr:from>
    <xdr:ext cx="304800" cy="304800"/>
    <xdr:sp macro="" textlink="">
      <xdr:nvSpPr>
        <xdr:cNvPr id="271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18</xdr:row>
      <xdr:rowOff>0</xdr:rowOff>
    </xdr:from>
    <xdr:ext cx="304800" cy="304800"/>
    <xdr:sp macro="" textlink="">
      <xdr:nvSpPr>
        <xdr:cNvPr id="27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27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16</xdr:row>
      <xdr:rowOff>0</xdr:rowOff>
    </xdr:from>
    <xdr:ext cx="304800" cy="304800"/>
    <xdr:sp macro="" textlink="">
      <xdr:nvSpPr>
        <xdr:cNvPr id="27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16</xdr:row>
      <xdr:rowOff>0</xdr:rowOff>
    </xdr:from>
    <xdr:ext cx="304800" cy="304800"/>
    <xdr:sp macro="" textlink="">
      <xdr:nvSpPr>
        <xdr:cNvPr id="27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16</xdr:row>
      <xdr:rowOff>0</xdr:rowOff>
    </xdr:from>
    <xdr:ext cx="304800" cy="304800"/>
    <xdr:sp macro="" textlink="">
      <xdr:nvSpPr>
        <xdr:cNvPr id="273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16</xdr:row>
      <xdr:rowOff>0</xdr:rowOff>
    </xdr:from>
    <xdr:ext cx="304800" cy="304800"/>
    <xdr:sp macro="" textlink="">
      <xdr:nvSpPr>
        <xdr:cNvPr id="273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7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3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3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8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5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5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5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5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5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5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5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5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</xdr:row>
      <xdr:rowOff>0</xdr:rowOff>
    </xdr:from>
    <xdr:ext cx="304800" cy="304800"/>
    <xdr:sp macro="" textlink="">
      <xdr:nvSpPr>
        <xdr:cNvPr id="276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76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6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6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6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6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37</xdr:row>
      <xdr:rowOff>0</xdr:rowOff>
    </xdr:from>
    <xdr:ext cx="304800" cy="304800"/>
    <xdr:sp macro="" textlink="">
      <xdr:nvSpPr>
        <xdr:cNvPr id="276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</xdr:row>
      <xdr:rowOff>0</xdr:rowOff>
    </xdr:from>
    <xdr:ext cx="304800" cy="304800"/>
    <xdr:sp macro="" textlink="">
      <xdr:nvSpPr>
        <xdr:cNvPr id="276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7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7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38</xdr:row>
      <xdr:rowOff>0</xdr:rowOff>
    </xdr:from>
    <xdr:ext cx="304800" cy="304800"/>
    <xdr:sp macro="" textlink="">
      <xdr:nvSpPr>
        <xdr:cNvPr id="277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7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2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37</xdr:row>
      <xdr:rowOff>0</xdr:rowOff>
    </xdr:from>
    <xdr:ext cx="304800" cy="304800"/>
    <xdr:sp macro="" textlink="">
      <xdr:nvSpPr>
        <xdr:cNvPr id="27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</xdr:row>
      <xdr:rowOff>0</xdr:rowOff>
    </xdr:from>
    <xdr:ext cx="304800" cy="304800"/>
    <xdr:sp macro="" textlink="">
      <xdr:nvSpPr>
        <xdr:cNvPr id="27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37</xdr:row>
      <xdr:rowOff>0</xdr:rowOff>
    </xdr:from>
    <xdr:ext cx="304800" cy="304800"/>
    <xdr:sp macro="" textlink="">
      <xdr:nvSpPr>
        <xdr:cNvPr id="27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</xdr:row>
      <xdr:rowOff>0</xdr:rowOff>
    </xdr:from>
    <xdr:ext cx="304800" cy="304800"/>
    <xdr:sp macro="" textlink="">
      <xdr:nvSpPr>
        <xdr:cNvPr id="27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8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8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8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8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8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8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8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8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9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9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6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7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7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79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79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67</xdr:row>
      <xdr:rowOff>0</xdr:rowOff>
    </xdr:from>
    <xdr:ext cx="304800" cy="304800"/>
    <xdr:sp macro="" textlink="">
      <xdr:nvSpPr>
        <xdr:cNvPr id="280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67</xdr:row>
      <xdr:rowOff>0</xdr:rowOff>
    </xdr:from>
    <xdr:ext cx="304800" cy="304800"/>
    <xdr:sp macro="" textlink="">
      <xdr:nvSpPr>
        <xdr:cNvPr id="280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98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1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1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68</xdr:row>
      <xdr:rowOff>0</xdr:rowOff>
    </xdr:from>
    <xdr:ext cx="304800" cy="304800"/>
    <xdr:sp macro="" textlink="">
      <xdr:nvSpPr>
        <xdr:cNvPr id="281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68</xdr:row>
      <xdr:rowOff>0</xdr:rowOff>
    </xdr:from>
    <xdr:ext cx="304800" cy="304800"/>
    <xdr:sp macro="" textlink="">
      <xdr:nvSpPr>
        <xdr:cNvPr id="281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2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2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2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2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65</xdr:row>
      <xdr:rowOff>0</xdr:rowOff>
    </xdr:from>
    <xdr:ext cx="304800" cy="304800"/>
    <xdr:sp macro="" textlink="">
      <xdr:nvSpPr>
        <xdr:cNvPr id="282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65</xdr:row>
      <xdr:rowOff>0</xdr:rowOff>
    </xdr:from>
    <xdr:ext cx="304800" cy="304800"/>
    <xdr:sp macro="" textlink="">
      <xdr:nvSpPr>
        <xdr:cNvPr id="282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68</xdr:row>
      <xdr:rowOff>0</xdr:rowOff>
    </xdr:from>
    <xdr:ext cx="304800" cy="304800"/>
    <xdr:sp macro="" textlink="">
      <xdr:nvSpPr>
        <xdr:cNvPr id="28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68</xdr:row>
      <xdr:rowOff>0</xdr:rowOff>
    </xdr:from>
    <xdr:ext cx="304800" cy="304800"/>
    <xdr:sp macro="" textlink="">
      <xdr:nvSpPr>
        <xdr:cNvPr id="28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68</xdr:row>
      <xdr:rowOff>0</xdr:rowOff>
    </xdr:from>
    <xdr:ext cx="304800" cy="304800"/>
    <xdr:sp macro="" textlink="">
      <xdr:nvSpPr>
        <xdr:cNvPr id="28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68</xdr:row>
      <xdr:rowOff>0</xdr:rowOff>
    </xdr:from>
    <xdr:ext cx="304800" cy="304800"/>
    <xdr:sp macro="" textlink="">
      <xdr:nvSpPr>
        <xdr:cNvPr id="28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2185"/>
    <xdr:sp macro="" textlink="">
      <xdr:nvSpPr>
        <xdr:cNvPr id="28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2185"/>
    <xdr:sp macro="" textlink="">
      <xdr:nvSpPr>
        <xdr:cNvPr id="28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2185"/>
    <xdr:sp macro="" textlink="">
      <xdr:nvSpPr>
        <xdr:cNvPr id="283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2185"/>
    <xdr:sp macro="" textlink="">
      <xdr:nvSpPr>
        <xdr:cNvPr id="283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4800"/>
    <xdr:sp macro="" textlink="">
      <xdr:nvSpPr>
        <xdr:cNvPr id="283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4800"/>
    <xdr:sp macro="" textlink="">
      <xdr:nvSpPr>
        <xdr:cNvPr id="283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4800"/>
    <xdr:sp macro="" textlink="">
      <xdr:nvSpPr>
        <xdr:cNvPr id="28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4800"/>
    <xdr:sp macro="" textlink="">
      <xdr:nvSpPr>
        <xdr:cNvPr id="28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4800"/>
    <xdr:sp macro="" textlink="">
      <xdr:nvSpPr>
        <xdr:cNvPr id="28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17</xdr:row>
      <xdr:rowOff>0</xdr:rowOff>
    </xdr:from>
    <xdr:ext cx="304800" cy="304800"/>
    <xdr:sp macro="" textlink="">
      <xdr:nvSpPr>
        <xdr:cNvPr id="28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6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2185"/>
    <xdr:sp macro="" textlink="">
      <xdr:nvSpPr>
        <xdr:cNvPr id="284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2185"/>
    <xdr:sp macro="" textlink="">
      <xdr:nvSpPr>
        <xdr:cNvPr id="284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2185"/>
    <xdr:sp macro="" textlink="">
      <xdr:nvSpPr>
        <xdr:cNvPr id="284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2185"/>
    <xdr:sp macro="" textlink="">
      <xdr:nvSpPr>
        <xdr:cNvPr id="284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4800"/>
    <xdr:sp macro="" textlink="">
      <xdr:nvSpPr>
        <xdr:cNvPr id="28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800"/>
    <xdr:sp macro="" textlink="">
      <xdr:nvSpPr>
        <xdr:cNvPr id="28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4800"/>
    <xdr:sp macro="" textlink="">
      <xdr:nvSpPr>
        <xdr:cNvPr id="28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800"/>
    <xdr:sp macro="" textlink="">
      <xdr:nvSpPr>
        <xdr:cNvPr id="28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39</xdr:row>
      <xdr:rowOff>0</xdr:rowOff>
    </xdr:from>
    <xdr:ext cx="304800" cy="304800"/>
    <xdr:sp macro="" textlink="">
      <xdr:nvSpPr>
        <xdr:cNvPr id="28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800"/>
    <xdr:sp macro="" textlink="">
      <xdr:nvSpPr>
        <xdr:cNvPr id="28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09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2185"/>
    <xdr:sp macro="" textlink="">
      <xdr:nvSpPr>
        <xdr:cNvPr id="285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2185"/>
    <xdr:sp macro="" textlink="">
      <xdr:nvSpPr>
        <xdr:cNvPr id="285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2185"/>
    <xdr:sp macro="" textlink="">
      <xdr:nvSpPr>
        <xdr:cNvPr id="285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2185"/>
    <xdr:sp macro="" textlink="">
      <xdr:nvSpPr>
        <xdr:cNvPr id="285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2185"/>
    <xdr:sp macro="" textlink="">
      <xdr:nvSpPr>
        <xdr:cNvPr id="28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2185"/>
    <xdr:sp macro="" textlink="">
      <xdr:nvSpPr>
        <xdr:cNvPr id="28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2185"/>
    <xdr:sp macro="" textlink="">
      <xdr:nvSpPr>
        <xdr:cNvPr id="286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2185"/>
    <xdr:sp macro="" textlink="">
      <xdr:nvSpPr>
        <xdr:cNvPr id="286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6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6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6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6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41</xdr:row>
      <xdr:rowOff>0</xdr:rowOff>
    </xdr:from>
    <xdr:ext cx="304800" cy="304800"/>
    <xdr:sp macro="" textlink="">
      <xdr:nvSpPr>
        <xdr:cNvPr id="286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0"/>
    <xdr:sp macro="" textlink="">
      <xdr:nvSpPr>
        <xdr:cNvPr id="286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1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2185"/>
    <xdr:sp macro="" textlink="">
      <xdr:nvSpPr>
        <xdr:cNvPr id="287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2185"/>
    <xdr:sp macro="" textlink="">
      <xdr:nvSpPr>
        <xdr:cNvPr id="287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2185"/>
    <xdr:sp macro="" textlink="">
      <xdr:nvSpPr>
        <xdr:cNvPr id="28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2185"/>
    <xdr:sp macro="" textlink="">
      <xdr:nvSpPr>
        <xdr:cNvPr id="28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4800"/>
    <xdr:sp macro="" textlink="">
      <xdr:nvSpPr>
        <xdr:cNvPr id="28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0"/>
    <xdr:sp macro="" textlink="">
      <xdr:nvSpPr>
        <xdr:cNvPr id="28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4800"/>
    <xdr:sp macro="" textlink="">
      <xdr:nvSpPr>
        <xdr:cNvPr id="287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0"/>
    <xdr:sp macro="" textlink="">
      <xdr:nvSpPr>
        <xdr:cNvPr id="287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43</xdr:row>
      <xdr:rowOff>0</xdr:rowOff>
    </xdr:from>
    <xdr:ext cx="304800" cy="304800"/>
    <xdr:sp macro="" textlink="">
      <xdr:nvSpPr>
        <xdr:cNvPr id="287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0"/>
    <xdr:sp macro="" textlink="">
      <xdr:nvSpPr>
        <xdr:cNvPr id="287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2185"/>
    <xdr:sp macro="" textlink="">
      <xdr:nvSpPr>
        <xdr:cNvPr id="288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2185"/>
    <xdr:sp macro="" textlink="">
      <xdr:nvSpPr>
        <xdr:cNvPr id="288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2185"/>
    <xdr:sp macro="" textlink="">
      <xdr:nvSpPr>
        <xdr:cNvPr id="288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2185"/>
    <xdr:sp macro="" textlink="">
      <xdr:nvSpPr>
        <xdr:cNvPr id="288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4800"/>
    <xdr:sp macro="" textlink="">
      <xdr:nvSpPr>
        <xdr:cNvPr id="28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4800"/>
    <xdr:sp macro="" textlink="">
      <xdr:nvSpPr>
        <xdr:cNvPr id="28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4800"/>
    <xdr:sp macro="" textlink="">
      <xdr:nvSpPr>
        <xdr:cNvPr id="28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4800"/>
    <xdr:sp macro="" textlink="">
      <xdr:nvSpPr>
        <xdr:cNvPr id="28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</xdr:row>
      <xdr:rowOff>0</xdr:rowOff>
    </xdr:from>
    <xdr:ext cx="304800" cy="304800"/>
    <xdr:sp macro="" textlink="">
      <xdr:nvSpPr>
        <xdr:cNvPr id="28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32</xdr:row>
      <xdr:rowOff>0</xdr:rowOff>
    </xdr:from>
    <xdr:ext cx="304800" cy="304800"/>
    <xdr:sp macro="" textlink="">
      <xdr:nvSpPr>
        <xdr:cNvPr id="28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7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2185"/>
    <xdr:sp macro="" textlink="">
      <xdr:nvSpPr>
        <xdr:cNvPr id="28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2185"/>
    <xdr:sp macro="" textlink="">
      <xdr:nvSpPr>
        <xdr:cNvPr id="28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2185"/>
    <xdr:sp macro="" textlink="">
      <xdr:nvSpPr>
        <xdr:cNvPr id="289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2185"/>
    <xdr:sp macro="" textlink="">
      <xdr:nvSpPr>
        <xdr:cNvPr id="289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89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89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89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89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89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89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2185"/>
    <xdr:sp macro="" textlink="">
      <xdr:nvSpPr>
        <xdr:cNvPr id="29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2185"/>
    <xdr:sp macro="" textlink="">
      <xdr:nvSpPr>
        <xdr:cNvPr id="29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2185"/>
    <xdr:sp macro="" textlink="">
      <xdr:nvSpPr>
        <xdr:cNvPr id="290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2185"/>
    <xdr:sp macro="" textlink="">
      <xdr:nvSpPr>
        <xdr:cNvPr id="290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90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90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90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90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34</xdr:row>
      <xdr:rowOff>0</xdr:rowOff>
    </xdr:from>
    <xdr:ext cx="304800" cy="304800"/>
    <xdr:sp macro="" textlink="">
      <xdr:nvSpPr>
        <xdr:cNvPr id="290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90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2185"/>
    <xdr:sp macro="" textlink="">
      <xdr:nvSpPr>
        <xdr:cNvPr id="29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2185"/>
    <xdr:sp macro="" textlink="">
      <xdr:nvSpPr>
        <xdr:cNvPr id="29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2185"/>
    <xdr:sp macro="" textlink="">
      <xdr:nvSpPr>
        <xdr:cNvPr id="291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2185"/>
    <xdr:sp macro="" textlink="">
      <xdr:nvSpPr>
        <xdr:cNvPr id="291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4800"/>
    <xdr:sp macro="" textlink="">
      <xdr:nvSpPr>
        <xdr:cNvPr id="29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29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4800"/>
    <xdr:sp macro="" textlink="">
      <xdr:nvSpPr>
        <xdr:cNvPr id="29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29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40</xdr:row>
      <xdr:rowOff>0</xdr:rowOff>
    </xdr:from>
    <xdr:ext cx="304800" cy="304800"/>
    <xdr:sp macro="" textlink="">
      <xdr:nvSpPr>
        <xdr:cNvPr id="29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29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0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2185"/>
    <xdr:sp macro="" textlink="">
      <xdr:nvSpPr>
        <xdr:cNvPr id="29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2185"/>
    <xdr:sp macro="" textlink="">
      <xdr:nvSpPr>
        <xdr:cNvPr id="29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2185"/>
    <xdr:sp macro="" textlink="">
      <xdr:nvSpPr>
        <xdr:cNvPr id="292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2185"/>
    <xdr:sp macro="" textlink="">
      <xdr:nvSpPr>
        <xdr:cNvPr id="292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4800"/>
    <xdr:sp macro="" textlink="">
      <xdr:nvSpPr>
        <xdr:cNvPr id="292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4800"/>
    <xdr:sp macro="" textlink="">
      <xdr:nvSpPr>
        <xdr:cNvPr id="292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4800"/>
    <xdr:sp macro="" textlink="">
      <xdr:nvSpPr>
        <xdr:cNvPr id="29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4800"/>
    <xdr:sp macro="" textlink="">
      <xdr:nvSpPr>
        <xdr:cNvPr id="29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4800"/>
    <xdr:sp macro="" textlink="">
      <xdr:nvSpPr>
        <xdr:cNvPr id="29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4800"/>
    <xdr:sp macro="" textlink="">
      <xdr:nvSpPr>
        <xdr:cNvPr id="29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4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2185"/>
    <xdr:sp macro="" textlink="">
      <xdr:nvSpPr>
        <xdr:cNvPr id="29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2185"/>
    <xdr:sp macro="" textlink="">
      <xdr:nvSpPr>
        <xdr:cNvPr id="29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2185"/>
    <xdr:sp macro="" textlink="">
      <xdr:nvSpPr>
        <xdr:cNvPr id="293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2185"/>
    <xdr:sp macro="" textlink="">
      <xdr:nvSpPr>
        <xdr:cNvPr id="293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3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3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2185"/>
    <xdr:sp macro="" textlink="">
      <xdr:nvSpPr>
        <xdr:cNvPr id="294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2185"/>
    <xdr:sp macro="" textlink="">
      <xdr:nvSpPr>
        <xdr:cNvPr id="294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2185"/>
    <xdr:sp macro="" textlink="">
      <xdr:nvSpPr>
        <xdr:cNvPr id="294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2185"/>
    <xdr:sp macro="" textlink="">
      <xdr:nvSpPr>
        <xdr:cNvPr id="294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31</xdr:row>
      <xdr:rowOff>0</xdr:rowOff>
    </xdr:from>
    <xdr:ext cx="304800" cy="304800"/>
    <xdr:sp macro="" textlink="">
      <xdr:nvSpPr>
        <xdr:cNvPr id="29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31</xdr:row>
      <xdr:rowOff>0</xdr:rowOff>
    </xdr:from>
    <xdr:ext cx="304800" cy="304800"/>
    <xdr:sp macro="" textlink="">
      <xdr:nvSpPr>
        <xdr:cNvPr id="29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2185"/>
    <xdr:sp macro="" textlink="">
      <xdr:nvSpPr>
        <xdr:cNvPr id="295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2185"/>
    <xdr:sp macro="" textlink="">
      <xdr:nvSpPr>
        <xdr:cNvPr id="295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2185"/>
    <xdr:sp macro="" textlink="">
      <xdr:nvSpPr>
        <xdr:cNvPr id="295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2185"/>
    <xdr:sp macro="" textlink="">
      <xdr:nvSpPr>
        <xdr:cNvPr id="295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4800"/>
    <xdr:sp macro="" textlink="">
      <xdr:nvSpPr>
        <xdr:cNvPr id="29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800"/>
    <xdr:sp macro="" textlink="">
      <xdr:nvSpPr>
        <xdr:cNvPr id="29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4800"/>
    <xdr:sp macro="" textlink="">
      <xdr:nvSpPr>
        <xdr:cNvPr id="29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800"/>
    <xdr:sp macro="" textlink="">
      <xdr:nvSpPr>
        <xdr:cNvPr id="29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33</xdr:row>
      <xdr:rowOff>0</xdr:rowOff>
    </xdr:from>
    <xdr:ext cx="304800" cy="304800"/>
    <xdr:sp macro="" textlink="">
      <xdr:nvSpPr>
        <xdr:cNvPr id="29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800"/>
    <xdr:sp macro="" textlink="">
      <xdr:nvSpPr>
        <xdr:cNvPr id="29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28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2185"/>
    <xdr:sp macro="" textlink="">
      <xdr:nvSpPr>
        <xdr:cNvPr id="29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2185"/>
    <xdr:sp macro="" textlink="">
      <xdr:nvSpPr>
        <xdr:cNvPr id="29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2185"/>
    <xdr:sp macro="" textlink="">
      <xdr:nvSpPr>
        <xdr:cNvPr id="296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2185"/>
    <xdr:sp macro="" textlink="">
      <xdr:nvSpPr>
        <xdr:cNvPr id="296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296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4800"/>
    <xdr:sp macro="" textlink="">
      <xdr:nvSpPr>
        <xdr:cNvPr id="296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296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4800"/>
    <xdr:sp macro="" textlink="">
      <xdr:nvSpPr>
        <xdr:cNvPr id="296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296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25</xdr:row>
      <xdr:rowOff>0</xdr:rowOff>
    </xdr:from>
    <xdr:ext cx="304800" cy="304800"/>
    <xdr:sp macro="" textlink="">
      <xdr:nvSpPr>
        <xdr:cNvPr id="296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2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2185"/>
    <xdr:sp macro="" textlink="">
      <xdr:nvSpPr>
        <xdr:cNvPr id="297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2185"/>
    <xdr:sp macro="" textlink="">
      <xdr:nvSpPr>
        <xdr:cNvPr id="297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2185"/>
    <xdr:sp macro="" textlink="">
      <xdr:nvSpPr>
        <xdr:cNvPr id="29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2185"/>
    <xdr:sp macro="" textlink="">
      <xdr:nvSpPr>
        <xdr:cNvPr id="29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7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7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7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7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2185"/>
    <xdr:sp macro="" textlink="">
      <xdr:nvSpPr>
        <xdr:cNvPr id="298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2185"/>
    <xdr:sp macro="" textlink="">
      <xdr:nvSpPr>
        <xdr:cNvPr id="298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2185"/>
    <xdr:sp macro="" textlink="">
      <xdr:nvSpPr>
        <xdr:cNvPr id="298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2185"/>
    <xdr:sp macro="" textlink="">
      <xdr:nvSpPr>
        <xdr:cNvPr id="298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27</xdr:row>
      <xdr:rowOff>0</xdr:rowOff>
    </xdr:from>
    <xdr:ext cx="304800" cy="304800"/>
    <xdr:sp macro="" textlink="">
      <xdr:nvSpPr>
        <xdr:cNvPr id="29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27</xdr:row>
      <xdr:rowOff>0</xdr:rowOff>
    </xdr:from>
    <xdr:ext cx="304800" cy="304800"/>
    <xdr:sp macro="" textlink="">
      <xdr:nvSpPr>
        <xdr:cNvPr id="29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2185"/>
    <xdr:sp macro="" textlink="">
      <xdr:nvSpPr>
        <xdr:cNvPr id="29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2185"/>
    <xdr:sp macro="" textlink="">
      <xdr:nvSpPr>
        <xdr:cNvPr id="29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2185"/>
    <xdr:sp macro="" textlink="">
      <xdr:nvSpPr>
        <xdr:cNvPr id="299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2185"/>
    <xdr:sp macro="" textlink="">
      <xdr:nvSpPr>
        <xdr:cNvPr id="299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4800"/>
    <xdr:sp macro="" textlink="">
      <xdr:nvSpPr>
        <xdr:cNvPr id="299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299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4800"/>
    <xdr:sp macro="" textlink="">
      <xdr:nvSpPr>
        <xdr:cNvPr id="299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299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30</xdr:row>
      <xdr:rowOff>0</xdr:rowOff>
    </xdr:from>
    <xdr:ext cx="304800" cy="304800"/>
    <xdr:sp macro="" textlink="">
      <xdr:nvSpPr>
        <xdr:cNvPr id="299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</xdr:row>
      <xdr:rowOff>0</xdr:rowOff>
    </xdr:from>
    <xdr:ext cx="304800" cy="304800"/>
    <xdr:sp macro="" textlink="">
      <xdr:nvSpPr>
        <xdr:cNvPr id="299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2185"/>
    <xdr:sp macro="" textlink="">
      <xdr:nvSpPr>
        <xdr:cNvPr id="30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2185"/>
    <xdr:sp macro="" textlink="">
      <xdr:nvSpPr>
        <xdr:cNvPr id="30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2185"/>
    <xdr:sp macro="" textlink="">
      <xdr:nvSpPr>
        <xdr:cNvPr id="300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2185"/>
    <xdr:sp macro="" textlink="">
      <xdr:nvSpPr>
        <xdr:cNvPr id="300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4800"/>
    <xdr:sp macro="" textlink="">
      <xdr:nvSpPr>
        <xdr:cNvPr id="300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4800"/>
    <xdr:sp macro="" textlink="">
      <xdr:nvSpPr>
        <xdr:cNvPr id="300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4800"/>
    <xdr:sp macro="" textlink="">
      <xdr:nvSpPr>
        <xdr:cNvPr id="300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4800"/>
    <xdr:sp macro="" textlink="">
      <xdr:nvSpPr>
        <xdr:cNvPr id="300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4800"/>
    <xdr:sp macro="" textlink="">
      <xdr:nvSpPr>
        <xdr:cNvPr id="300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4800"/>
    <xdr:sp macro="" textlink="">
      <xdr:nvSpPr>
        <xdr:cNvPr id="300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39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2185"/>
    <xdr:sp macro="" textlink="">
      <xdr:nvSpPr>
        <xdr:cNvPr id="30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2185"/>
    <xdr:sp macro="" textlink="">
      <xdr:nvSpPr>
        <xdr:cNvPr id="30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2185"/>
    <xdr:sp macro="" textlink="">
      <xdr:nvSpPr>
        <xdr:cNvPr id="301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2185"/>
    <xdr:sp macro="" textlink="">
      <xdr:nvSpPr>
        <xdr:cNvPr id="301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2185"/>
    <xdr:sp macro="" textlink="">
      <xdr:nvSpPr>
        <xdr:cNvPr id="30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2185"/>
    <xdr:sp macro="" textlink="">
      <xdr:nvSpPr>
        <xdr:cNvPr id="30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2185"/>
    <xdr:sp macro="" textlink="">
      <xdr:nvSpPr>
        <xdr:cNvPr id="302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2185"/>
    <xdr:sp macro="" textlink="">
      <xdr:nvSpPr>
        <xdr:cNvPr id="302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2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2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24</xdr:row>
      <xdr:rowOff>0</xdr:rowOff>
    </xdr:from>
    <xdr:ext cx="304800" cy="304800"/>
    <xdr:sp macro="" textlink="">
      <xdr:nvSpPr>
        <xdr:cNvPr id="30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30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2185"/>
    <xdr:sp macro="" textlink="">
      <xdr:nvSpPr>
        <xdr:cNvPr id="30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2185"/>
    <xdr:sp macro="" textlink="">
      <xdr:nvSpPr>
        <xdr:cNvPr id="30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2185"/>
    <xdr:sp macro="" textlink="">
      <xdr:nvSpPr>
        <xdr:cNvPr id="303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2185"/>
    <xdr:sp macro="" textlink="">
      <xdr:nvSpPr>
        <xdr:cNvPr id="303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4800"/>
    <xdr:sp macro="" textlink="">
      <xdr:nvSpPr>
        <xdr:cNvPr id="303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4800"/>
    <xdr:sp macro="" textlink="">
      <xdr:nvSpPr>
        <xdr:cNvPr id="303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4800"/>
    <xdr:sp macro="" textlink="">
      <xdr:nvSpPr>
        <xdr:cNvPr id="30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4800"/>
    <xdr:sp macro="" textlink="">
      <xdr:nvSpPr>
        <xdr:cNvPr id="30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26</xdr:row>
      <xdr:rowOff>0</xdr:rowOff>
    </xdr:from>
    <xdr:ext cx="304800" cy="304800"/>
    <xdr:sp macro="" textlink="">
      <xdr:nvSpPr>
        <xdr:cNvPr id="30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26</xdr:row>
      <xdr:rowOff>0</xdr:rowOff>
    </xdr:from>
    <xdr:ext cx="304800" cy="304800"/>
    <xdr:sp macro="" textlink="">
      <xdr:nvSpPr>
        <xdr:cNvPr id="30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4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4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6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6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6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6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6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6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6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6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7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7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4800"/>
    <xdr:sp macro="" textlink="">
      <xdr:nvSpPr>
        <xdr:cNvPr id="307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4800"/>
    <xdr:sp macro="" textlink="">
      <xdr:nvSpPr>
        <xdr:cNvPr id="307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8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8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9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9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09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09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09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09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1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1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310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310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0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0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0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0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0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0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0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1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1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1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1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1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1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1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1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1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1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31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31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2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3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3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4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4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4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4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4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4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5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5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5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5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31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31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6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6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6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9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9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9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9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9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9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19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19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19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19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20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20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20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20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20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20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63</xdr:row>
      <xdr:rowOff>0</xdr:rowOff>
    </xdr:from>
    <xdr:ext cx="304800" cy="304800"/>
    <xdr:sp macro="" textlink="">
      <xdr:nvSpPr>
        <xdr:cNvPr id="320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63</xdr:row>
      <xdr:rowOff>0</xdr:rowOff>
    </xdr:from>
    <xdr:ext cx="304800" cy="304800"/>
    <xdr:sp macro="" textlink="">
      <xdr:nvSpPr>
        <xdr:cNvPr id="320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0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0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1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1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2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2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2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2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2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2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2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2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2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2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48</xdr:row>
      <xdr:rowOff>0</xdr:rowOff>
    </xdr:from>
    <xdr:ext cx="304800" cy="304800"/>
    <xdr:sp macro="" textlink="">
      <xdr:nvSpPr>
        <xdr:cNvPr id="323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323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5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3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3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3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3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3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3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4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4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4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4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4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4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4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4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4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4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0</xdr:rowOff>
    </xdr:from>
    <xdr:ext cx="304800" cy="304800"/>
    <xdr:sp macro="" textlink="">
      <xdr:nvSpPr>
        <xdr:cNvPr id="32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29</xdr:row>
      <xdr:rowOff>0</xdr:rowOff>
    </xdr:from>
    <xdr:ext cx="304800" cy="304800"/>
    <xdr:sp macro="" textlink="">
      <xdr:nvSpPr>
        <xdr:cNvPr id="32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6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6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7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7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7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7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7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7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7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7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7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7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8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8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8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8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</xdr:row>
      <xdr:rowOff>0</xdr:rowOff>
    </xdr:from>
    <xdr:ext cx="304800" cy="304800"/>
    <xdr:sp macro="" textlink="">
      <xdr:nvSpPr>
        <xdr:cNvPr id="328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328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3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29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29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0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0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5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2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2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2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2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2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2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2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2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2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2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3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3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3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3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3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3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72</xdr:row>
      <xdr:rowOff>0</xdr:rowOff>
    </xdr:from>
    <xdr:ext cx="304800" cy="304800"/>
    <xdr:sp macro="" textlink="">
      <xdr:nvSpPr>
        <xdr:cNvPr id="333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72</xdr:row>
      <xdr:rowOff>0</xdr:rowOff>
    </xdr:from>
    <xdr:ext cx="304800" cy="304800"/>
    <xdr:sp macro="" textlink="">
      <xdr:nvSpPr>
        <xdr:cNvPr id="333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7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3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3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4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4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5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5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5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5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5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5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5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5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5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5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6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6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61</xdr:row>
      <xdr:rowOff>0</xdr:rowOff>
    </xdr:from>
    <xdr:ext cx="304800" cy="304800"/>
    <xdr:sp macro="" textlink="">
      <xdr:nvSpPr>
        <xdr:cNvPr id="336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304800"/>
    <xdr:sp macro="" textlink="">
      <xdr:nvSpPr>
        <xdr:cNvPr id="336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6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6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6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6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7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7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7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7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7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7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7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7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</xdr:row>
      <xdr:rowOff>0</xdr:rowOff>
    </xdr:from>
    <xdr:ext cx="304800" cy="304800"/>
    <xdr:sp macro="" textlink="">
      <xdr:nvSpPr>
        <xdr:cNvPr id="338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45</xdr:row>
      <xdr:rowOff>0</xdr:rowOff>
    </xdr:from>
    <xdr:ext cx="304800" cy="304800"/>
    <xdr:sp macro="" textlink="">
      <xdr:nvSpPr>
        <xdr:cNvPr id="338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1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39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39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0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0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0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0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0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0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0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0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0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0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1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1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1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1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41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</xdr:row>
      <xdr:rowOff>0</xdr:rowOff>
    </xdr:from>
    <xdr:ext cx="304800" cy="304800"/>
    <xdr:sp macro="" textlink="">
      <xdr:nvSpPr>
        <xdr:cNvPr id="341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2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2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0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1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3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3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5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5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5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5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5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5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56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57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5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5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6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6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6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6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6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6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75</xdr:row>
      <xdr:rowOff>0</xdr:rowOff>
    </xdr:from>
    <xdr:ext cx="304800" cy="304800"/>
    <xdr:sp macro="" textlink="">
      <xdr:nvSpPr>
        <xdr:cNvPr id="346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75</xdr:row>
      <xdr:rowOff>0</xdr:rowOff>
    </xdr:from>
    <xdr:ext cx="304800" cy="304800"/>
    <xdr:sp macro="" textlink="">
      <xdr:nvSpPr>
        <xdr:cNvPr id="346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6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6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6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7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7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7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8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8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482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483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8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8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8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8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8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8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9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9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73</xdr:row>
      <xdr:rowOff>0</xdr:rowOff>
    </xdr:from>
    <xdr:ext cx="304800" cy="304800"/>
    <xdr:sp macro="" textlink="">
      <xdr:nvSpPr>
        <xdr:cNvPr id="349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73</xdr:row>
      <xdr:rowOff>0</xdr:rowOff>
    </xdr:from>
    <xdr:ext cx="304800" cy="304800"/>
    <xdr:sp macro="" textlink="">
      <xdr:nvSpPr>
        <xdr:cNvPr id="349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78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49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49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49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49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498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499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00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01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02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03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0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0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0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0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08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09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59</xdr:row>
      <xdr:rowOff>0</xdr:rowOff>
    </xdr:from>
    <xdr:ext cx="304800" cy="304800"/>
    <xdr:sp macro="" textlink="">
      <xdr:nvSpPr>
        <xdr:cNvPr id="351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304800"/>
    <xdr:sp macro="" textlink="">
      <xdr:nvSpPr>
        <xdr:cNvPr id="351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0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4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5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6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7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28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29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3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3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3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3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34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35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3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3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3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3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40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41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42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43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544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</xdr:row>
      <xdr:rowOff>0</xdr:rowOff>
    </xdr:from>
    <xdr:ext cx="304800" cy="304800"/>
    <xdr:sp macro="" textlink="">
      <xdr:nvSpPr>
        <xdr:cNvPr id="3545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4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4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4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4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0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1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2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3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4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5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6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7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58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59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5"/>
    <xdr:sp macro="" textlink="">
      <xdr:nvSpPr>
        <xdr:cNvPr id="3560" name="AutoShape 3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5"/>
    <xdr:sp macro="" textlink="">
      <xdr:nvSpPr>
        <xdr:cNvPr id="3561" name="AutoShape 4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5"/>
    <xdr:sp macro="" textlink="">
      <xdr:nvSpPr>
        <xdr:cNvPr id="3562" name="AutoShape 4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8535"/>
    <xdr:sp macro="" textlink="">
      <xdr:nvSpPr>
        <xdr:cNvPr id="3563" name="AutoShape 44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5"/>
    <xdr:sp macro="" textlink="">
      <xdr:nvSpPr>
        <xdr:cNvPr id="3564" name="AutoShape 45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497050"/>
          <a:ext cx="304800" cy="30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55</xdr:row>
      <xdr:rowOff>0</xdr:rowOff>
    </xdr:from>
    <xdr:ext cx="304800" cy="308536"/>
    <xdr:sp macro="" textlink="">
      <xdr:nvSpPr>
        <xdr:cNvPr id="356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4687550"/>
          <a:ext cx="304800" cy="308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308536"/>
    <xdr:sp macro="" textlink="">
      <xdr:nvSpPr>
        <xdr:cNvPr id="356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4687550"/>
          <a:ext cx="304800" cy="308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67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68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6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7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3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7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8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8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9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9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9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593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594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9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9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9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59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59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60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60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60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78</xdr:row>
      <xdr:rowOff>0</xdr:rowOff>
    </xdr:from>
    <xdr:ext cx="304800" cy="304800"/>
    <xdr:sp macro="" textlink="">
      <xdr:nvSpPr>
        <xdr:cNvPr id="360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78</xdr:row>
      <xdr:rowOff>0</xdr:rowOff>
    </xdr:from>
    <xdr:ext cx="304800" cy="304800"/>
    <xdr:sp macro="" textlink="">
      <xdr:nvSpPr>
        <xdr:cNvPr id="360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5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0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0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0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0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0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1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1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1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1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1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19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20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2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2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2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2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76</xdr:row>
      <xdr:rowOff>0</xdr:rowOff>
    </xdr:from>
    <xdr:ext cx="304800" cy="304800"/>
    <xdr:sp macro="" textlink="">
      <xdr:nvSpPr>
        <xdr:cNvPr id="362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76</xdr:row>
      <xdr:rowOff>0</xdr:rowOff>
    </xdr:from>
    <xdr:ext cx="304800" cy="304800"/>
    <xdr:sp macro="" textlink="">
      <xdr:nvSpPr>
        <xdr:cNvPr id="363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7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3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3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3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3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3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4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4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4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4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4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45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46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4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4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4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5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5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5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5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5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71</xdr:row>
      <xdr:rowOff>0</xdr:rowOff>
    </xdr:from>
    <xdr:ext cx="304800" cy="304800"/>
    <xdr:sp macro="" textlink="">
      <xdr:nvSpPr>
        <xdr:cNvPr id="365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71</xdr:row>
      <xdr:rowOff>0</xdr:rowOff>
    </xdr:from>
    <xdr:ext cx="304800" cy="304800"/>
    <xdr:sp macro="" textlink="">
      <xdr:nvSpPr>
        <xdr:cNvPr id="365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5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5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5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6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6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7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71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72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7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7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7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7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7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7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7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8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368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10</xdr:row>
      <xdr:rowOff>0</xdr:rowOff>
    </xdr:from>
    <xdr:ext cx="304800" cy="304800"/>
    <xdr:sp macro="" textlink="">
      <xdr:nvSpPr>
        <xdr:cNvPr id="368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1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8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8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8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8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8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8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8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7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698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69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0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3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0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1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1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2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2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2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23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24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2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2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2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2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2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3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3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3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80</xdr:row>
      <xdr:rowOff>0</xdr:rowOff>
    </xdr:from>
    <xdr:ext cx="304800" cy="304800"/>
    <xdr:sp macro="" textlink="">
      <xdr:nvSpPr>
        <xdr:cNvPr id="373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80</xdr:row>
      <xdr:rowOff>0</xdr:rowOff>
    </xdr:from>
    <xdr:ext cx="304800" cy="304800"/>
    <xdr:sp macro="" textlink="">
      <xdr:nvSpPr>
        <xdr:cNvPr id="373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5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3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3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3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3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3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4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4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4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4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4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49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50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5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5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5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5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79</xdr:row>
      <xdr:rowOff>0</xdr:rowOff>
    </xdr:from>
    <xdr:ext cx="304800" cy="304800"/>
    <xdr:sp macro="" textlink="">
      <xdr:nvSpPr>
        <xdr:cNvPr id="375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79</xdr:row>
      <xdr:rowOff>0</xdr:rowOff>
    </xdr:from>
    <xdr:ext cx="304800" cy="304800"/>
    <xdr:sp macro="" textlink="">
      <xdr:nvSpPr>
        <xdr:cNvPr id="376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6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6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6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6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6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7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7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7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7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7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75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76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7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7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7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8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8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8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8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8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74</xdr:row>
      <xdr:rowOff>0</xdr:rowOff>
    </xdr:from>
    <xdr:ext cx="304800" cy="304800"/>
    <xdr:sp macro="" textlink="">
      <xdr:nvSpPr>
        <xdr:cNvPr id="378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74</xdr:row>
      <xdr:rowOff>0</xdr:rowOff>
    </xdr:from>
    <xdr:ext cx="304800" cy="304800"/>
    <xdr:sp macro="" textlink="">
      <xdr:nvSpPr>
        <xdr:cNvPr id="378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19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8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8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8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79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79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0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01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02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0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0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0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0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0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0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0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1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381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</xdr:row>
      <xdr:rowOff>0</xdr:rowOff>
    </xdr:from>
    <xdr:ext cx="304800" cy="304800"/>
    <xdr:sp macro="" textlink="">
      <xdr:nvSpPr>
        <xdr:cNvPr id="381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1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1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1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1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1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1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1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7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28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2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3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2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3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7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48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4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5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5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5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53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54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5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5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5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5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5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6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6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6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82</xdr:row>
      <xdr:rowOff>0</xdr:rowOff>
    </xdr:from>
    <xdr:ext cx="304800" cy="304800"/>
    <xdr:sp macro="" textlink="">
      <xdr:nvSpPr>
        <xdr:cNvPr id="386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82</xdr:row>
      <xdr:rowOff>0</xdr:rowOff>
    </xdr:from>
    <xdr:ext cx="304800" cy="304800"/>
    <xdr:sp macro="" textlink="">
      <xdr:nvSpPr>
        <xdr:cNvPr id="386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6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6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6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6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69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0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71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2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73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4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7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7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7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79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80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8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8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8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8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81</xdr:row>
      <xdr:rowOff>0</xdr:rowOff>
    </xdr:from>
    <xdr:ext cx="304800" cy="304800"/>
    <xdr:sp macro="" textlink="">
      <xdr:nvSpPr>
        <xdr:cNvPr id="388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389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9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9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5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96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7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898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899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00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0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0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0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0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05" name="AutoShape 5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06" name="AutoShape 53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0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0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0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1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11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12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13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14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77</xdr:row>
      <xdr:rowOff>0</xdr:rowOff>
    </xdr:from>
    <xdr:ext cx="304800" cy="304800"/>
    <xdr:sp macro="" textlink="">
      <xdr:nvSpPr>
        <xdr:cNvPr id="3915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77</xdr:row>
      <xdr:rowOff>0</xdr:rowOff>
    </xdr:from>
    <xdr:ext cx="304800" cy="304800"/>
    <xdr:sp macro="" textlink="">
      <xdr:nvSpPr>
        <xdr:cNvPr id="3916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8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1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1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1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2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2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3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22</xdr:row>
      <xdr:rowOff>0</xdr:rowOff>
    </xdr:from>
    <xdr:ext cx="304800" cy="304800"/>
    <xdr:sp macro="" textlink="">
      <xdr:nvSpPr>
        <xdr:cNvPr id="393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</xdr:row>
      <xdr:rowOff>0</xdr:rowOff>
    </xdr:from>
    <xdr:ext cx="304800" cy="304800"/>
    <xdr:sp macro="" textlink="">
      <xdr:nvSpPr>
        <xdr:cNvPr id="394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20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1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42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3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44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5" name="AutoShape 50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46" name="AutoShape 5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7" name="AutoShape 48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48" name="AutoShape 49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23</xdr:row>
      <xdr:rowOff>0</xdr:rowOff>
    </xdr:from>
    <xdr:ext cx="304800" cy="304800"/>
    <xdr:sp macro="" textlink="">
      <xdr:nvSpPr>
        <xdr:cNvPr id="3949" name="AutoShape 46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516255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</xdr:row>
      <xdr:rowOff>0</xdr:rowOff>
    </xdr:from>
    <xdr:ext cx="304800" cy="304800"/>
    <xdr:sp macro="" textlink="">
      <xdr:nvSpPr>
        <xdr:cNvPr id="3950" name="AutoShape 47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7683500" y="76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bor/Downloads/G4D_Final_Table_with_Boundarie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"/>
      <sheetName val="Mass Min"/>
      <sheetName val="Mass Max"/>
      <sheetName val="FOR_BOOK"/>
    </sheetNames>
    <sheetDataSet>
      <sheetData sheetId="0"/>
      <sheetData sheetId="1">
        <row r="1">
          <cell r="M1" t="str">
            <v>G4D = Pr − Co</v>
          </cell>
        </row>
        <row r="3">
          <cell r="M3">
            <v>-457303.37078651681</v>
          </cell>
        </row>
        <row r="4">
          <cell r="M4">
            <v>-2.4719101123595504</v>
          </cell>
        </row>
        <row r="5">
          <cell r="M5">
            <v>-0.898876404494382</v>
          </cell>
        </row>
        <row r="6">
          <cell r="M6">
            <v>-0.56179775280898869</v>
          </cell>
        </row>
        <row r="7">
          <cell r="M7">
            <v>-0.4044943820224719</v>
          </cell>
        </row>
        <row r="8">
          <cell r="M8">
            <v>-0.32584269662921345</v>
          </cell>
        </row>
        <row r="9">
          <cell r="M9">
            <v>-0.19071928462450083</v>
          </cell>
        </row>
        <row r="10">
          <cell r="M10">
            <v>-0.18245258261691905</v>
          </cell>
        </row>
        <row r="11">
          <cell r="M11">
            <v>-0.1533282264938699</v>
          </cell>
        </row>
        <row r="13">
          <cell r="M13">
            <v>-0.11847199166831746</v>
          </cell>
        </row>
        <row r="14">
          <cell r="M14">
            <v>-0.14065256834462639</v>
          </cell>
        </row>
        <row r="15">
          <cell r="M15">
            <v>-0.10809749381476058</v>
          </cell>
        </row>
        <row r="16">
          <cell r="M16">
            <v>-0.12900911721467864</v>
          </cell>
        </row>
        <row r="17">
          <cell r="M17">
            <v>-0.11800610532843836</v>
          </cell>
        </row>
        <row r="18">
          <cell r="M18">
            <v>-0.11024579211031059</v>
          </cell>
        </row>
        <row r="19">
          <cell r="M19">
            <v>-6.6734170749291472E-2</v>
          </cell>
        </row>
        <row r="20">
          <cell r="M20">
            <v>-6.5663002904272502E-2</v>
          </cell>
        </row>
        <row r="21">
          <cell r="M21">
            <v>-6.2292216387418567E-2</v>
          </cell>
        </row>
        <row r="22">
          <cell r="M22">
            <v>-5.3251024681875772E-2</v>
          </cell>
        </row>
        <row r="23">
          <cell r="M23">
            <v>-3.4202328746969116E-2</v>
          </cell>
        </row>
        <row r="24">
          <cell r="M24">
            <v>2.9528049109661503E-2</v>
          </cell>
        </row>
        <row r="25">
          <cell r="M25">
            <v>2.7528089887640449E-2</v>
          </cell>
        </row>
        <row r="26">
          <cell r="M26">
            <v>195.16853930940746</v>
          </cell>
        </row>
        <row r="27">
          <cell r="M27">
            <v>353.61856143075101</v>
          </cell>
        </row>
        <row r="28">
          <cell r="M28">
            <v>715.8426952966272</v>
          </cell>
        </row>
        <row r="29">
          <cell r="M29">
            <v>4044.8191368992289</v>
          </cell>
        </row>
        <row r="30">
          <cell r="M30">
            <v>5498.6176501156515</v>
          </cell>
        </row>
        <row r="31">
          <cell r="M31">
            <v>5505.5940247234903</v>
          </cell>
        </row>
        <row r="32">
          <cell r="M32">
            <v>75110.400538673377</v>
          </cell>
        </row>
        <row r="33">
          <cell r="M33">
            <v>1572930.3144640187</v>
          </cell>
        </row>
        <row r="34">
          <cell r="M34">
            <v>47191005.376995653</v>
          </cell>
        </row>
        <row r="35">
          <cell r="M35">
            <v>78651678.500365004</v>
          </cell>
        </row>
        <row r="36">
          <cell r="M36">
            <v>149438193.63107428</v>
          </cell>
        </row>
      </sheetData>
      <sheetData sheetId="2">
        <row r="1">
          <cell r="M1" t="str">
            <v>G4D = Pr − Co</v>
          </cell>
        </row>
        <row r="3">
          <cell r="M3">
            <v>-464044.94382022473</v>
          </cell>
        </row>
        <row r="4">
          <cell r="M4">
            <v>-2.9213483146067416</v>
          </cell>
        </row>
        <row r="5">
          <cell r="M5">
            <v>-1.348314606741573</v>
          </cell>
        </row>
        <row r="6">
          <cell r="M6">
            <v>-0.898876404494382</v>
          </cell>
        </row>
        <row r="7">
          <cell r="M7">
            <v>-0.4044943820224719</v>
          </cell>
        </row>
        <row r="8">
          <cell r="M8">
            <v>-0.32584269662921345</v>
          </cell>
        </row>
        <row r="9">
          <cell r="M9">
            <v>-0.26349085418667428</v>
          </cell>
        </row>
        <row r="10">
          <cell r="M10">
            <v>-0.23193724991919701</v>
          </cell>
        </row>
        <row r="11">
          <cell r="M11">
            <v>-0.1737042659712785</v>
          </cell>
        </row>
        <row r="13">
          <cell r="M13">
            <v>-0.17668924731805624</v>
          </cell>
        </row>
        <row r="14">
          <cell r="M14">
            <v>-0.15229601947457413</v>
          </cell>
        </row>
        <row r="15">
          <cell r="M15">
            <v>-0.16631474946449937</v>
          </cell>
        </row>
        <row r="16">
          <cell r="M16">
            <v>-0.13337541138840903</v>
          </cell>
        </row>
        <row r="17">
          <cell r="M17">
            <v>-0.22570802828045514</v>
          </cell>
        </row>
        <row r="18">
          <cell r="M18">
            <v>-0.14954243967388425</v>
          </cell>
        </row>
        <row r="19">
          <cell r="M19">
            <v>-0.12495142639903024</v>
          </cell>
        </row>
        <row r="20">
          <cell r="M20">
            <v>-0.1238802585540113</v>
          </cell>
        </row>
        <row r="21">
          <cell r="M21">
            <v>-0.12050947203715737</v>
          </cell>
        </row>
        <row r="22">
          <cell r="M22">
            <v>-0.12602259424404921</v>
          </cell>
        </row>
        <row r="23">
          <cell r="M23">
            <v>-9.2419584396707916E-2</v>
          </cell>
        </row>
        <row r="24">
          <cell r="M24">
            <v>-1.4134892627642587E-2</v>
          </cell>
        </row>
        <row r="25">
          <cell r="M25">
            <v>2.7528089887640449E-2</v>
          </cell>
        </row>
        <row r="26">
          <cell r="M26">
            <v>195.16853930940746</v>
          </cell>
        </row>
        <row r="27">
          <cell r="M27">
            <v>353.61856143075101</v>
          </cell>
        </row>
        <row r="28">
          <cell r="M28">
            <v>715.8426952966272</v>
          </cell>
        </row>
        <row r="29">
          <cell r="M29">
            <v>4044.8191368992289</v>
          </cell>
        </row>
        <row r="30">
          <cell r="M30">
            <v>5498.6176501156515</v>
          </cell>
        </row>
        <row r="31">
          <cell r="M31">
            <v>5505.5940247234903</v>
          </cell>
        </row>
        <row r="32">
          <cell r="M32">
            <v>75110.400538673377</v>
          </cell>
        </row>
        <row r="33">
          <cell r="M33">
            <v>1572930.3144640187</v>
          </cell>
        </row>
        <row r="34">
          <cell r="M34">
            <v>47191005.376995653</v>
          </cell>
        </row>
        <row r="35">
          <cell r="M35">
            <v>78651678.500365004</v>
          </cell>
        </row>
        <row r="36">
          <cell r="M36">
            <v>149438193.63107428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Views>
    <sheetView workbookViewId="0">
      <selection sqref="A1:XFD1048576"/>
    </sheetView>
  </sheetViews>
  <sheetFormatPr defaultRowHeight="14.5" x14ac:dyDescent="0.35"/>
  <cols>
    <col min="1" max="1" width="26.90625" bestFit="1" customWidth="1"/>
    <col min="2" max="2" width="14.453125" hidden="1" customWidth="1"/>
    <col min="3" max="3" width="14.81640625" hidden="1" customWidth="1"/>
    <col min="4" max="4" width="15.453125" hidden="1" customWidth="1"/>
    <col min="5" max="5" width="15.7265625" bestFit="1" customWidth="1"/>
    <col min="6" max="6" width="11.81640625" bestFit="1" customWidth="1"/>
    <col min="7" max="7" width="11.81640625" hidden="1" customWidth="1"/>
    <col min="8" max="8" width="14.453125" hidden="1" customWidth="1"/>
    <col min="9" max="9" width="33.453125" hidden="1" customWidth="1"/>
    <col min="10" max="10" width="13" bestFit="1" customWidth="1"/>
    <col min="11" max="11" width="13.1796875" hidden="1" customWidth="1"/>
    <col min="12" max="12" width="12.453125" bestFit="1" customWidth="1"/>
    <col min="13" max="13" width="19" bestFit="1" customWidth="1"/>
    <col min="14" max="14" width="11.81640625" bestFit="1" customWidth="1"/>
    <col min="15" max="15" width="20.36328125" bestFit="1" customWidth="1"/>
    <col min="16" max="16" width="12.453125" bestFit="1" customWidth="1"/>
    <col min="17" max="17" width="16.26953125" hidden="1" customWidth="1"/>
    <col min="18" max="18" width="16.7265625" hidden="1" customWidth="1"/>
    <col min="19" max="19" width="20.26953125" hidden="1" customWidth="1"/>
    <col min="20" max="20" width="11.81640625" hidden="1" customWidth="1"/>
    <col min="21" max="21" width="0" hidden="1" customWidth="1"/>
    <col min="22" max="22" width="12.54296875" hidden="1" customWidth="1"/>
    <col min="23" max="23" width="16.1796875" hidden="1" customWidth="1"/>
    <col min="24" max="24" width="12.453125" hidden="1" customWidth="1"/>
    <col min="25" max="25" width="14.7265625" hidden="1" customWidth="1"/>
    <col min="26" max="26" width="18" hidden="1" customWidth="1"/>
    <col min="27" max="27" width="20.1796875" hidden="1" customWidth="1"/>
    <col min="28" max="28" width="18" bestFit="1" customWidth="1"/>
    <col min="29" max="29" width="8.36328125" hidden="1" customWidth="1"/>
    <col min="30" max="30" width="12.7265625" hidden="1" customWidth="1"/>
  </cols>
  <sheetData>
    <row r="1" spans="1:30" ht="15" thickBot="1" x14ac:dyDescent="0.4">
      <c r="A1" s="54" t="s">
        <v>0</v>
      </c>
      <c r="B1" s="55" t="s">
        <v>1</v>
      </c>
      <c r="C1" s="55" t="s">
        <v>2</v>
      </c>
      <c r="D1" s="55" t="s">
        <v>3</v>
      </c>
      <c r="E1" s="56" t="s">
        <v>4</v>
      </c>
      <c r="F1" s="56" t="s">
        <v>5</v>
      </c>
      <c r="G1" s="57" t="s">
        <v>6</v>
      </c>
      <c r="H1" s="55" t="s">
        <v>7</v>
      </c>
      <c r="I1" s="55" t="s">
        <v>8</v>
      </c>
      <c r="J1" s="56" t="s">
        <v>70</v>
      </c>
      <c r="K1" s="55" t="s">
        <v>9</v>
      </c>
      <c r="L1" s="56" t="s">
        <v>69</v>
      </c>
      <c r="M1" s="55" t="s">
        <v>10</v>
      </c>
      <c r="N1" s="56" t="s">
        <v>11</v>
      </c>
      <c r="O1" s="56" t="s">
        <v>12</v>
      </c>
      <c r="P1" s="56" t="s">
        <v>13</v>
      </c>
      <c r="Q1" s="55" t="s">
        <v>14</v>
      </c>
      <c r="R1" s="56" t="s">
        <v>15</v>
      </c>
      <c r="S1" s="55" t="s">
        <v>16</v>
      </c>
      <c r="T1" s="56" t="s">
        <v>17</v>
      </c>
      <c r="U1" s="55" t="s">
        <v>18</v>
      </c>
      <c r="V1" s="56" t="s">
        <v>19</v>
      </c>
      <c r="W1" s="57" t="s">
        <v>20</v>
      </c>
      <c r="X1" s="58" t="s">
        <v>21</v>
      </c>
      <c r="Y1" s="56" t="s">
        <v>68</v>
      </c>
      <c r="Z1" s="56" t="s">
        <v>23</v>
      </c>
      <c r="AA1" s="56" t="s">
        <v>24</v>
      </c>
      <c r="AB1" s="56" t="s">
        <v>22</v>
      </c>
      <c r="AC1" s="59" t="s">
        <v>25</v>
      </c>
      <c r="AD1" s="60" t="s">
        <v>26</v>
      </c>
    </row>
    <row r="2" spans="1:30" x14ac:dyDescent="0.35">
      <c r="A2" s="107" t="s">
        <v>27</v>
      </c>
      <c r="B2" s="97">
        <f>D2</f>
        <v>66000000000</v>
      </c>
      <c r="C2" s="97">
        <f>D2</f>
        <v>66000000000</v>
      </c>
      <c r="D2" s="98">
        <v>66000000000</v>
      </c>
      <c r="E2" s="98">
        <v>66000000000</v>
      </c>
      <c r="F2" s="99">
        <v>190000000000</v>
      </c>
      <c r="G2" s="100">
        <f>E2/F2</f>
        <v>0.3473684210526316</v>
      </c>
      <c r="H2" s="100">
        <f>G2*1.476</f>
        <v>0.51271578947368424</v>
      </c>
      <c r="I2" s="101">
        <f>(-299792458^2 + SQRT(299792458^4 + 4*G2*S2*299792458^2)) / (2*G2)</f>
        <v>2.5873255145453866E+17</v>
      </c>
      <c r="J2" s="102">
        <v>0</v>
      </c>
      <c r="K2" s="103">
        <f>J2/G2</f>
        <v>0</v>
      </c>
      <c r="L2" s="102">
        <f t="shared" ref="L2:L39" si="0">IF(F2&gt;0, 1 - (2*0.000000000066743 * E2 * 1.98847E+30) / (F2 * 1000 * 299792458^2),0)</f>
        <v>-2.5896837981126186E-2</v>
      </c>
      <c r="M2" s="103">
        <f t="shared" ref="M2:M39" si="1">J2*L2</f>
        <v>0</v>
      </c>
      <c r="N2" s="102">
        <f t="shared" ref="N2:N39" si="2">M2*F2/8.9</f>
        <v>0</v>
      </c>
      <c r="O2" s="104">
        <f t="shared" ref="O2:O39" si="3">E2/8.9</f>
        <v>7415730337.0786514</v>
      </c>
      <c r="P2" s="104">
        <f t="shared" ref="P2:P39" si="4">N2-O2</f>
        <v>-7415730337.0786514</v>
      </c>
      <c r="Q2" s="100" t="str">
        <f>'[1]Mass Min'!M1</f>
        <v>G4D = Pr − Co</v>
      </c>
      <c r="R2" s="100" t="str">
        <f>'[1]Mass Max'!M1</f>
        <v>G4D = Pr − Co</v>
      </c>
      <c r="S2" s="100">
        <f t="shared" ref="S2:S39" si="5">0.000000000066743*(E2*1.98847E+30)/((F2*1000)^2)</f>
        <v>242.63949894349031</v>
      </c>
      <c r="T2" s="100">
        <f t="shared" ref="T2:T39" si="6">(F2*1000)/S2</f>
        <v>783054699780.14661</v>
      </c>
      <c r="U2" s="100">
        <f t="shared" ref="U2:U39" si="7">SQRT(2*0.000000000066743*(E2*1.98847E+30)/(F2*1000))/299792458</f>
        <v>1.0128656564328393</v>
      </c>
      <c r="V2" s="105">
        <f>F2/(3*1.476*E2)</f>
        <v>0.65013276395390218</v>
      </c>
      <c r="W2" s="100">
        <f t="shared" ref="W2:W39" si="8">(0.000000000066743*(E2*1.98847E+30))/(F2*1000*299792458^2)</f>
        <v>0.5129484189905632</v>
      </c>
      <c r="X2" s="100">
        <f>LOG10(S2)</f>
        <v>2.3849615004747884</v>
      </c>
      <c r="Y2" s="104" t="s">
        <v>28</v>
      </c>
      <c r="Z2" s="104" t="str">
        <f>IF(W2&lt;0.25,"Fully visible",
IF(W2&lt;0.3,"Partial visible",
IF(W2&lt;0.32,"Collapse boundary",
"Invisible (Black hole)")))</f>
        <v>Invisible (Black hole)</v>
      </c>
      <c r="AA2" s="104" t="str">
        <f>IF(V2&gt;2,"Fully visible",
IF(V2&gt;1,"Partial visible",
IF(ABS(V2-1)&lt;=0.05,"Collapse boundary",
IF(V2&gt;0.7,"Collapse transition",
"Invisible (Black hole)"))))</f>
        <v>Invisible (Black hole)</v>
      </c>
      <c r="AB2" s="104" t="str">
        <f>IF(P2&gt;0,"Fully visible",
IF(P2&gt;-0.26,"Partial visible",
IF(ABS(P2+0.3)&lt;=0.02,"Collapse boundary",
IF(P2&gt;-0.32,"Collapse transition",
"Invisible (Black hole)"))))</f>
        <v>Invisible (Black hole)</v>
      </c>
      <c r="AC2" s="106">
        <f>E2*1.788E+47</f>
        <v>1.18008E+58</v>
      </c>
      <c r="AD2" s="106">
        <f>0.000000000066743*(E2*1.98847E+30)^2/(F2*1000)</f>
        <v>6.0503163103805941E+57</v>
      </c>
    </row>
    <row r="3" spans="1:30" x14ac:dyDescent="0.35">
      <c r="A3" s="107" t="s">
        <v>29</v>
      </c>
      <c r="B3" s="108">
        <v>4070000</v>
      </c>
      <c r="C3" s="108">
        <v>4130000</v>
      </c>
      <c r="D3" s="109">
        <v>4100000</v>
      </c>
      <c r="E3" s="105">
        <v>4100000</v>
      </c>
      <c r="F3" s="99">
        <v>12000000</v>
      </c>
      <c r="G3" s="100">
        <f>E3/F3</f>
        <v>0.34166666666666667</v>
      </c>
      <c r="H3" s="100">
        <f>G3*1.476</f>
        <v>0.50429999999999997</v>
      </c>
      <c r="I3" s="101">
        <f>(-299792458^2 + SQRT(299792458^4 + 4*G3*S3*299792458^2)) / (2*G3)</f>
        <v>2.6305029621943267E+17</v>
      </c>
      <c r="J3" s="102">
        <v>0</v>
      </c>
      <c r="K3" s="103">
        <f>J3/G3</f>
        <v>0</v>
      </c>
      <c r="L3" s="102">
        <f t="shared" si="0"/>
        <v>-9.0576222061833356E-3</v>
      </c>
      <c r="M3" s="103">
        <f t="shared" si="1"/>
        <v>0</v>
      </c>
      <c r="N3" s="102">
        <f t="shared" si="2"/>
        <v>0</v>
      </c>
      <c r="O3" s="104">
        <f t="shared" si="3"/>
        <v>460674.15730337077</v>
      </c>
      <c r="P3" s="104">
        <f t="shared" si="4"/>
        <v>-460674.15730337077</v>
      </c>
      <c r="Q3" s="100">
        <f>'[1]Mass Min'!M3</f>
        <v>-457303.37078651681</v>
      </c>
      <c r="R3" s="100">
        <f>'[1]Mass Max'!M3</f>
        <v>-464044.94382022473</v>
      </c>
      <c r="S3" s="100">
        <f t="shared" si="5"/>
        <v>3778732.3483402776</v>
      </c>
      <c r="T3" s="100">
        <f t="shared" si="6"/>
        <v>3175.6681589980108</v>
      </c>
      <c r="U3" s="100">
        <f t="shared" si="7"/>
        <v>1.00451860222008</v>
      </c>
      <c r="V3" s="105">
        <f>F3/(3*1.476*E3)</f>
        <v>0.6609822195782934</v>
      </c>
      <c r="W3" s="100">
        <f t="shared" si="8"/>
        <v>0.50452881110309167</v>
      </c>
      <c r="X3" s="100">
        <f>LOG10(S3)</f>
        <v>6.577346131463063</v>
      </c>
      <c r="Y3" s="104" t="s">
        <v>28</v>
      </c>
      <c r="Z3" s="104" t="str">
        <f t="shared" ref="Z3:Z39" si="9">IF(W3&lt;0.25,"Fully visible",
IF(W3&lt;0.3,"Partial visible",
IF(W3&lt;0.32,"Collapse boundary",
"Invisible (Black hole)")))</f>
        <v>Invisible (Black hole)</v>
      </c>
      <c r="AA3" s="104" t="str">
        <f t="shared" ref="AA3:AA39" si="10">IF(V3&gt;2,"Fully visible",
IF(V3&gt;1,"Partial visible",
IF(ABS(V3-1)&lt;=0.05,"Collapse boundary",
IF(V3&gt;0.7,"Collapse transition",
"Invisible (Black hole)"))))</f>
        <v>Invisible (Black hole)</v>
      </c>
      <c r="AB3" s="104" t="str">
        <f t="shared" ref="AB3:AB39" si="11">IF(P3&gt;0,"Fully visible",
IF(P3&gt;-0.26,"Partial visible",
IF(ABS(P3+0.3)&lt;=0.02,"Collapse boundary",
IF(P3&gt;-0.32,"Collapse transition",
"Invisible (Black hole)"))))</f>
        <v>Invisible (Black hole)</v>
      </c>
      <c r="AC3" s="110">
        <f t="shared" ref="AC3:AC39" si="12">E3*1.788E+47</f>
        <v>7.3307999999999998E+53</v>
      </c>
      <c r="AD3" s="110">
        <f t="shared" ref="AD3:AD39" si="13">0.000000000066743*(E3*1.98847E+30)^2/(F3*1000)</f>
        <v>3.6968367890504619E+53</v>
      </c>
    </row>
    <row r="4" spans="1:30" x14ac:dyDescent="0.35">
      <c r="A4" s="111" t="s">
        <v>30</v>
      </c>
      <c r="B4" s="112">
        <v>22</v>
      </c>
      <c r="C4" s="112">
        <v>26</v>
      </c>
      <c r="D4" s="103">
        <v>24</v>
      </c>
      <c r="E4" s="102">
        <v>24</v>
      </c>
      <c r="F4" s="99">
        <v>70.8</v>
      </c>
      <c r="G4" s="100">
        <f>E4/F4</f>
        <v>0.33898305084745767</v>
      </c>
      <c r="H4" s="100">
        <f t="shared" ref="H4:H39" si="14">G4*1.476</f>
        <v>0.50033898305084756</v>
      </c>
      <c r="I4" s="100">
        <f t="shared" ref="I4:I39" si="15">(-299792458^2 + SQRT(299792458^4 + 4*G4*S4*299792458^2)) / (2*G4)</f>
        <v>2.6513341315844006E+17</v>
      </c>
      <c r="J4" s="102">
        <v>0</v>
      </c>
      <c r="K4" s="103">
        <f t="shared" ref="K4:K39" si="16">J4/G4</f>
        <v>0</v>
      </c>
      <c r="L4" s="102">
        <f t="shared" si="0"/>
        <v>-1.1319939209757379E-3</v>
      </c>
      <c r="M4" s="103">
        <f t="shared" si="1"/>
        <v>0</v>
      </c>
      <c r="N4" s="102">
        <f t="shared" si="2"/>
        <v>0</v>
      </c>
      <c r="O4" s="104">
        <f t="shared" si="3"/>
        <v>2.696629213483146</v>
      </c>
      <c r="P4" s="104">
        <f t="shared" si="4"/>
        <v>-2.696629213483146</v>
      </c>
      <c r="Q4" s="100">
        <f>'[1]Mass Min'!M4</f>
        <v>-2.4719101123595504</v>
      </c>
      <c r="R4" s="100">
        <f>'[1]Mass Max'!M4</f>
        <v>-2.9213483146067416</v>
      </c>
      <c r="S4" s="100">
        <f t="shared" si="5"/>
        <v>635432601790.6731</v>
      </c>
      <c r="T4" s="100">
        <f t="shared" si="6"/>
        <v>1.114201565995873E-7</v>
      </c>
      <c r="U4" s="100">
        <f t="shared" si="7"/>
        <v>1.0005658368748034</v>
      </c>
      <c r="V4" s="104">
        <f t="shared" ref="V4:V39" si="17">F4/(3*1.476*E4)</f>
        <v>0.66621499548328822</v>
      </c>
      <c r="W4" s="100">
        <f t="shared" si="8"/>
        <v>0.50056599696048787</v>
      </c>
      <c r="X4" s="100">
        <f t="shared" ref="X4:X39" si="18">LOG10(S4)</f>
        <v>11.803069493170645</v>
      </c>
      <c r="Y4" s="104" t="s">
        <v>28</v>
      </c>
      <c r="Z4" s="104" t="str">
        <f t="shared" si="9"/>
        <v>Invisible (Black hole)</v>
      </c>
      <c r="AA4" s="104" t="str">
        <f t="shared" si="10"/>
        <v>Invisible (Black hole)</v>
      </c>
      <c r="AB4" s="104" t="str">
        <f t="shared" si="11"/>
        <v>Invisible (Black hole)</v>
      </c>
      <c r="AC4" s="110">
        <f t="shared" si="12"/>
        <v>4.2911999999999999E+48</v>
      </c>
      <c r="AD4" s="110">
        <f t="shared" si="13"/>
        <v>2.1470049007280432E+48</v>
      </c>
    </row>
    <row r="5" spans="1:30" x14ac:dyDescent="0.35">
      <c r="A5" s="107" t="s">
        <v>31</v>
      </c>
      <c r="B5" s="112">
        <v>8</v>
      </c>
      <c r="C5" s="112">
        <v>12</v>
      </c>
      <c r="D5" s="100">
        <v>10</v>
      </c>
      <c r="E5" s="104">
        <v>10</v>
      </c>
      <c r="F5" s="99">
        <v>29.5</v>
      </c>
      <c r="G5" s="100">
        <f>E5/F5</f>
        <v>0.33898305084745761</v>
      </c>
      <c r="H5" s="100">
        <f t="shared" si="14"/>
        <v>0.50033898305084745</v>
      </c>
      <c r="I5" s="100">
        <f t="shared" si="15"/>
        <v>2.6513430275683363E+17</v>
      </c>
      <c r="J5" s="102">
        <v>0</v>
      </c>
      <c r="K5" s="103">
        <f t="shared" si="16"/>
        <v>0</v>
      </c>
      <c r="L5" s="102">
        <f t="shared" si="0"/>
        <v>-1.1319939209757379E-3</v>
      </c>
      <c r="M5" s="103">
        <f t="shared" si="1"/>
        <v>0</v>
      </c>
      <c r="N5" s="102">
        <f t="shared" si="2"/>
        <v>0</v>
      </c>
      <c r="O5" s="104">
        <f t="shared" si="3"/>
        <v>1.1235955056179774</v>
      </c>
      <c r="P5" s="104">
        <f t="shared" si="4"/>
        <v>-1.1235955056179774</v>
      </c>
      <c r="Q5" s="100">
        <f>'[1]Mass Min'!M5</f>
        <v>-0.898876404494382</v>
      </c>
      <c r="R5" s="100">
        <f>'[1]Mass Max'!M5</f>
        <v>-1.348314606741573</v>
      </c>
      <c r="S5" s="100">
        <f t="shared" si="5"/>
        <v>1525038244297.6155</v>
      </c>
      <c r="T5" s="100">
        <f t="shared" si="6"/>
        <v>1.9343777187428353E-8</v>
      </c>
      <c r="U5" s="100">
        <f t="shared" si="7"/>
        <v>1.0005658368748034</v>
      </c>
      <c r="V5" s="104">
        <f t="shared" si="17"/>
        <v>0.66621499548328811</v>
      </c>
      <c r="W5" s="100">
        <f t="shared" si="8"/>
        <v>0.50056599696048787</v>
      </c>
      <c r="X5" s="100">
        <f t="shared" si="18"/>
        <v>12.183280734882251</v>
      </c>
      <c r="Y5" s="104" t="s">
        <v>28</v>
      </c>
      <c r="Z5" s="104" t="str">
        <f t="shared" si="9"/>
        <v>Invisible (Black hole)</v>
      </c>
      <c r="AA5" s="104" t="str">
        <f t="shared" si="10"/>
        <v>Invisible (Black hole)</v>
      </c>
      <c r="AB5" s="104" t="str">
        <f t="shared" si="11"/>
        <v>Invisible (Black hole)</v>
      </c>
      <c r="AC5" s="110">
        <f t="shared" si="12"/>
        <v>1.7879999999999999E+48</v>
      </c>
      <c r="AD5" s="110">
        <f t="shared" si="13"/>
        <v>8.9458537530335159E+47</v>
      </c>
    </row>
    <row r="6" spans="1:30" x14ac:dyDescent="0.35">
      <c r="A6" s="113" t="s">
        <v>32</v>
      </c>
      <c r="B6" s="112">
        <v>5</v>
      </c>
      <c r="C6" s="112">
        <v>8</v>
      </c>
      <c r="D6" s="103">
        <v>6.5</v>
      </c>
      <c r="E6" s="102">
        <v>6.5</v>
      </c>
      <c r="F6" s="99">
        <v>19.2</v>
      </c>
      <c r="G6" s="100">
        <f>E6/F6</f>
        <v>0.33854166666666669</v>
      </c>
      <c r="H6" s="100">
        <f t="shared" si="14"/>
        <v>0.49968750000000001</v>
      </c>
      <c r="I6" s="100">
        <f t="shared" si="15"/>
        <v>2.6548079288221171E+17</v>
      </c>
      <c r="J6" s="102">
        <v>0</v>
      </c>
      <c r="K6" s="103">
        <f t="shared" si="16"/>
        <v>0</v>
      </c>
      <c r="L6" s="102">
        <f t="shared" si="0"/>
        <v>1.7156336277557305E-4</v>
      </c>
      <c r="M6" s="103">
        <f t="shared" si="1"/>
        <v>0</v>
      </c>
      <c r="N6" s="102">
        <f t="shared" si="2"/>
        <v>0</v>
      </c>
      <c r="O6" s="104">
        <f t="shared" si="3"/>
        <v>0.7303370786516854</v>
      </c>
      <c r="P6" s="104">
        <f t="shared" si="4"/>
        <v>-0.7303370786516854</v>
      </c>
      <c r="Q6" s="100">
        <f>'[1]Mass Min'!M6</f>
        <v>-0.56179775280898869</v>
      </c>
      <c r="R6" s="100">
        <f>'[1]Mass Max'!M6</f>
        <v>-0.898876404494382</v>
      </c>
      <c r="S6" s="100">
        <f t="shared" si="5"/>
        <v>2340106732489.6919</v>
      </c>
      <c r="T6" s="100">
        <f t="shared" si="6"/>
        <v>8.2047539684536912E-9</v>
      </c>
      <c r="U6" s="100">
        <f t="shared" si="7"/>
        <v>0.99991421463904806</v>
      </c>
      <c r="V6" s="104">
        <f t="shared" si="17"/>
        <v>0.6670835939128622</v>
      </c>
      <c r="W6" s="100">
        <f t="shared" si="8"/>
        <v>0.49991421831861221</v>
      </c>
      <c r="X6" s="100">
        <f t="shared" si="18"/>
        <v>12.369235666074333</v>
      </c>
      <c r="Y6" s="104" t="s">
        <v>28</v>
      </c>
      <c r="Z6" s="104" t="str">
        <f t="shared" si="9"/>
        <v>Invisible (Black hole)</v>
      </c>
      <c r="AA6" s="104" t="str">
        <f t="shared" si="10"/>
        <v>Invisible (Black hole)</v>
      </c>
      <c r="AB6" s="104" t="str">
        <f t="shared" si="11"/>
        <v>Invisible (Black hole)</v>
      </c>
      <c r="AC6" s="110">
        <f t="shared" si="12"/>
        <v>1.1622000000000001E+48</v>
      </c>
      <c r="AD6" s="110">
        <f t="shared" si="13"/>
        <v>5.8072335788735136E+47</v>
      </c>
    </row>
    <row r="7" spans="1:30" x14ac:dyDescent="0.35">
      <c r="A7" s="107" t="s">
        <v>33</v>
      </c>
      <c r="B7" s="100">
        <v>3.6</v>
      </c>
      <c r="C7" s="100">
        <v>3.6</v>
      </c>
      <c r="D7" s="100">
        <v>3.6</v>
      </c>
      <c r="E7" s="104">
        <v>3.6</v>
      </c>
      <c r="F7" s="99">
        <v>8.9</v>
      </c>
      <c r="G7" s="100">
        <f t="shared" ref="G7:G39" si="19">E7/F7</f>
        <v>0.4044943820224719</v>
      </c>
      <c r="H7" s="100">
        <f t="shared" si="14"/>
        <v>0.59703370786516852</v>
      </c>
      <c r="I7" s="100">
        <f t="shared" si="15"/>
        <v>2.2219828416177491E+17</v>
      </c>
      <c r="J7" s="102">
        <v>0</v>
      </c>
      <c r="K7" s="103">
        <f t="shared" si="16"/>
        <v>0</v>
      </c>
      <c r="L7" s="102">
        <f t="shared" si="0"/>
        <v>-0.19460918825177109</v>
      </c>
      <c r="M7" s="103">
        <f t="shared" si="1"/>
        <v>0</v>
      </c>
      <c r="N7" s="102">
        <f t="shared" si="2"/>
        <v>0</v>
      </c>
      <c r="O7" s="104">
        <f t="shared" si="3"/>
        <v>0.4044943820224719</v>
      </c>
      <c r="P7" s="104">
        <f t="shared" si="4"/>
        <v>-0.4044943820224719</v>
      </c>
      <c r="Q7" s="100">
        <f>'[1]Mass Min'!M7</f>
        <v>-0.4044943820224719</v>
      </c>
      <c r="R7" s="100">
        <f>'[1]Mass Max'!M7</f>
        <v>-0.4044943820224719</v>
      </c>
      <c r="S7" s="100">
        <f t="shared" si="5"/>
        <v>6031804463527.332</v>
      </c>
      <c r="T7" s="100">
        <f t="shared" si="6"/>
        <v>1.4755120219522797E-9</v>
      </c>
      <c r="U7" s="100">
        <f t="shared" si="7"/>
        <v>1.0929817877036063</v>
      </c>
      <c r="V7" s="104">
        <f t="shared" si="17"/>
        <v>0.55831576834286867</v>
      </c>
      <c r="W7" s="100">
        <f t="shared" si="8"/>
        <v>0.59730459412588555</v>
      </c>
      <c r="X7" s="100">
        <f t="shared" si="18"/>
        <v>12.780447254316039</v>
      </c>
      <c r="Y7" s="104" t="s">
        <v>28</v>
      </c>
      <c r="Z7" s="104" t="str">
        <f t="shared" si="9"/>
        <v>Invisible (Black hole)</v>
      </c>
      <c r="AA7" s="104" t="str">
        <f t="shared" si="10"/>
        <v>Invisible (Black hole)</v>
      </c>
      <c r="AB7" s="104" t="str">
        <f t="shared" si="11"/>
        <v>Invisible (Black hole)</v>
      </c>
      <c r="AC7" s="110">
        <f t="shared" si="12"/>
        <v>6.4367999999999998E+47</v>
      </c>
      <c r="AD7" s="110">
        <f t="shared" si="13"/>
        <v>3.8428975357974976E+47</v>
      </c>
    </row>
    <row r="8" spans="1:30" x14ac:dyDescent="0.35">
      <c r="A8" s="107" t="s">
        <v>34</v>
      </c>
      <c r="B8" s="100">
        <v>2.9</v>
      </c>
      <c r="C8" s="100">
        <v>2.9</v>
      </c>
      <c r="D8" s="100">
        <v>2.9</v>
      </c>
      <c r="E8" s="104">
        <v>2.9</v>
      </c>
      <c r="F8" s="99">
        <v>8.9</v>
      </c>
      <c r="G8" s="100">
        <f t="shared" si="19"/>
        <v>0.32584269662921345</v>
      </c>
      <c r="H8" s="100">
        <f t="shared" si="14"/>
        <v>0.48094382022471904</v>
      </c>
      <c r="I8" s="100">
        <f t="shared" si="15"/>
        <v>2.7582972406654352E+17</v>
      </c>
      <c r="J8" s="102">
        <v>0</v>
      </c>
      <c r="K8" s="103">
        <f t="shared" si="16"/>
        <v>0</v>
      </c>
      <c r="L8" s="102">
        <f t="shared" si="0"/>
        <v>3.7675931686073305E-2</v>
      </c>
      <c r="M8" s="103">
        <f t="shared" si="1"/>
        <v>0</v>
      </c>
      <c r="N8" s="102">
        <f t="shared" si="2"/>
        <v>0</v>
      </c>
      <c r="O8" s="104">
        <f t="shared" si="3"/>
        <v>0.32584269662921345</v>
      </c>
      <c r="P8" s="104">
        <f t="shared" si="4"/>
        <v>-0.32584269662921345</v>
      </c>
      <c r="Q8" s="100">
        <f>'[1]Mass Min'!M8</f>
        <v>-0.32584269662921345</v>
      </c>
      <c r="R8" s="100">
        <f>'[1]Mass Max'!M8</f>
        <v>-0.32584269662921345</v>
      </c>
      <c r="S8" s="100">
        <f t="shared" si="5"/>
        <v>4858953595619.2393</v>
      </c>
      <c r="T8" s="100">
        <f t="shared" si="6"/>
        <v>1.8316700962166233E-9</v>
      </c>
      <c r="U8" s="100">
        <f t="shared" si="7"/>
        <v>0.98098117633006943</v>
      </c>
      <c r="V8" s="104">
        <f t="shared" si="17"/>
        <v>0.69308164346011281</v>
      </c>
      <c r="W8" s="100">
        <f t="shared" si="8"/>
        <v>0.48116203415696335</v>
      </c>
      <c r="X8" s="100">
        <f t="shared" si="18"/>
        <v>12.686542751447709</v>
      </c>
      <c r="Y8" s="104" t="s">
        <v>28</v>
      </c>
      <c r="Z8" s="104" t="str">
        <f t="shared" si="9"/>
        <v>Invisible (Black hole)</v>
      </c>
      <c r="AA8" s="104" t="str">
        <f t="shared" si="10"/>
        <v>Invisible (Black hole)</v>
      </c>
      <c r="AB8" s="104" t="str">
        <f t="shared" si="11"/>
        <v>Invisible (Black hole)</v>
      </c>
      <c r="AC8" s="110">
        <f t="shared" si="12"/>
        <v>5.1852E+47</v>
      </c>
      <c r="AD8" s="110">
        <f t="shared" si="13"/>
        <v>2.4937321200661228E+47</v>
      </c>
    </row>
    <row r="9" spans="1:30" ht="15" thickBot="1" x14ac:dyDescent="0.4">
      <c r="A9" s="41" t="s">
        <v>35</v>
      </c>
      <c r="B9" s="42">
        <v>2.7</v>
      </c>
      <c r="C9" s="42">
        <v>3.2</v>
      </c>
      <c r="D9" s="43">
        <v>3</v>
      </c>
      <c r="E9" s="44">
        <v>3</v>
      </c>
      <c r="F9" s="6">
        <v>18</v>
      </c>
      <c r="G9" s="43">
        <f t="shared" si="19"/>
        <v>0.16666666666666666</v>
      </c>
      <c r="H9" s="43">
        <f t="shared" si="14"/>
        <v>0.246</v>
      </c>
      <c r="I9" s="43">
        <f t="shared" si="15"/>
        <v>5.392543360953385E+17</v>
      </c>
      <c r="J9" s="44">
        <v>0.1</v>
      </c>
      <c r="K9" s="43">
        <f t="shared" si="16"/>
        <v>0.60000000000000009</v>
      </c>
      <c r="L9" s="30">
        <f t="shared" si="0"/>
        <v>0.50777676965552021</v>
      </c>
      <c r="M9" s="31">
        <f t="shared" si="1"/>
        <v>5.0777676965552021E-2</v>
      </c>
      <c r="N9" s="30">
        <f t="shared" si="2"/>
        <v>0.10269642532358836</v>
      </c>
      <c r="O9" s="44">
        <f t="shared" si="3"/>
        <v>0.33707865168539325</v>
      </c>
      <c r="P9" s="44">
        <f t="shared" si="4"/>
        <v>-0.23438222636180489</v>
      </c>
      <c r="Q9" s="43">
        <f>'[1]Mass Min'!M9</f>
        <v>-0.19071928462450083</v>
      </c>
      <c r="R9" s="43">
        <f>'[1]Mass Max'!M9</f>
        <v>-0.26349085418667428</v>
      </c>
      <c r="S9" s="43">
        <f t="shared" si="5"/>
        <v>1228856048240.7405</v>
      </c>
      <c r="T9" s="43">
        <f t="shared" si="6"/>
        <v>1.4647769383378328E-8</v>
      </c>
      <c r="U9" s="43">
        <f t="shared" si="7"/>
        <v>0.70158622445461372</v>
      </c>
      <c r="V9" s="44">
        <f t="shared" si="17"/>
        <v>1.3550135501355014</v>
      </c>
      <c r="W9" s="43">
        <f t="shared" si="8"/>
        <v>0.24611161517223987</v>
      </c>
      <c r="X9" s="43">
        <f t="shared" si="18"/>
        <v>12.089501011351627</v>
      </c>
      <c r="Y9" s="44" t="s">
        <v>36</v>
      </c>
      <c r="Z9" s="2" t="str">
        <f t="shared" si="9"/>
        <v>Fully visible</v>
      </c>
      <c r="AA9" s="2" t="str">
        <f t="shared" si="10"/>
        <v>Partial visible</v>
      </c>
      <c r="AB9" s="44" t="str">
        <f t="shared" si="11"/>
        <v>Partial visible</v>
      </c>
      <c r="AC9" s="4">
        <f t="shared" si="12"/>
        <v>5.3639999999999998E+47</v>
      </c>
      <c r="AD9" s="4">
        <f t="shared" si="13"/>
        <v>1.3195134285724431E+47</v>
      </c>
    </row>
    <row r="10" spans="1:30" x14ac:dyDescent="0.35">
      <c r="A10" s="36" t="s">
        <v>37</v>
      </c>
      <c r="B10" s="8">
        <v>2.1800000000000002</v>
      </c>
      <c r="C10" s="8">
        <v>2.52</v>
      </c>
      <c r="D10" s="29">
        <v>2.35</v>
      </c>
      <c r="E10" s="114">
        <v>2.35</v>
      </c>
      <c r="F10" s="115">
        <v>12.244999999999999</v>
      </c>
      <c r="G10" s="10">
        <f t="shared" si="19"/>
        <v>0.19191506737443856</v>
      </c>
      <c r="H10" s="11">
        <f t="shared" si="14"/>
        <v>0.28326663944467129</v>
      </c>
      <c r="I10" s="11">
        <f t="shared" si="15"/>
        <v>4.6831089552058688E+17</v>
      </c>
      <c r="J10" s="9">
        <v>0.1</v>
      </c>
      <c r="K10" s="11">
        <f t="shared" si="16"/>
        <v>0.52106382978723409</v>
      </c>
      <c r="L10" s="13">
        <f t="shared" si="0"/>
        <v>0.43320967351105233</v>
      </c>
      <c r="M10" s="12">
        <f t="shared" si="1"/>
        <v>4.3320967351105237E-2</v>
      </c>
      <c r="N10" s="13">
        <f t="shared" si="2"/>
        <v>5.9602836540930744E-2</v>
      </c>
      <c r="O10" s="9">
        <f t="shared" si="3"/>
        <v>0.2640449438202247</v>
      </c>
      <c r="P10" s="14">
        <f t="shared" si="4"/>
        <v>-0.20444210727929396</v>
      </c>
      <c r="Q10" s="11">
        <f>'[1]Mass Min'!M10</f>
        <v>-0.18245258261691905</v>
      </c>
      <c r="R10" s="9">
        <f>'[1]Mass Max'!M10</f>
        <v>-0.23193724991919701</v>
      </c>
      <c r="S10" s="9">
        <f t="shared" si="5"/>
        <v>2080056109391.0713</v>
      </c>
      <c r="T10" s="9">
        <f t="shared" si="6"/>
        <v>5.8868604287721254E-9</v>
      </c>
      <c r="U10" s="15">
        <f t="shared" si="7"/>
        <v>0.75285478446307796</v>
      </c>
      <c r="V10" s="9">
        <f t="shared" si="17"/>
        <v>1.1767475830786676</v>
      </c>
      <c r="W10" s="16">
        <f t="shared" si="8"/>
        <v>0.28339516324447384</v>
      </c>
      <c r="X10" s="15">
        <f t="shared" si="18"/>
        <v>12.318075050188847</v>
      </c>
      <c r="Y10" s="9" t="s">
        <v>36</v>
      </c>
      <c r="Z10" s="38" t="str">
        <f t="shared" si="9"/>
        <v>Partial visible</v>
      </c>
      <c r="AA10" s="38" t="str">
        <f t="shared" si="10"/>
        <v>Partial visible</v>
      </c>
      <c r="AB10" s="9" t="str">
        <f t="shared" si="11"/>
        <v>Partial visible</v>
      </c>
      <c r="AC10" s="3">
        <f t="shared" si="12"/>
        <v>4.2017999999999999E+47</v>
      </c>
      <c r="AD10" s="3">
        <f t="shared" si="13"/>
        <v>1.1902021901659976E+47</v>
      </c>
    </row>
    <row r="11" spans="1:30" x14ac:dyDescent="0.35">
      <c r="A11" s="34" t="s">
        <v>38</v>
      </c>
      <c r="B11" s="5">
        <v>2.0099999999999998</v>
      </c>
      <c r="C11" s="5">
        <v>2.15</v>
      </c>
      <c r="D11" s="17">
        <v>2.08</v>
      </c>
      <c r="E11" s="6">
        <v>2.08</v>
      </c>
      <c r="F11" s="1">
        <v>12.39</v>
      </c>
      <c r="G11" s="18">
        <f t="shared" si="19"/>
        <v>0.1678773204196933</v>
      </c>
      <c r="H11" s="19">
        <f t="shared" si="14"/>
        <v>0.2477869249394673</v>
      </c>
      <c r="I11" s="19">
        <f t="shared" si="15"/>
        <v>5.3536606094370637E+17</v>
      </c>
      <c r="J11" s="20">
        <v>0.1</v>
      </c>
      <c r="K11" s="19">
        <f t="shared" si="16"/>
        <v>0.59567307692307692</v>
      </c>
      <c r="L11" s="22">
        <f t="shared" si="0"/>
        <v>0.50420129824865956</v>
      </c>
      <c r="M11" s="21">
        <f t="shared" si="1"/>
        <v>5.0420129824865961E-2</v>
      </c>
      <c r="N11" s="22">
        <f t="shared" si="2"/>
        <v>7.0191618935965081E-2</v>
      </c>
      <c r="O11" s="20">
        <f t="shared" si="3"/>
        <v>0.23370786516853934</v>
      </c>
      <c r="P11" s="23">
        <f t="shared" si="4"/>
        <v>-0.16351624623257427</v>
      </c>
      <c r="Q11" s="19">
        <f>'[1]Mass Min'!M11</f>
        <v>-0.1533282264938699</v>
      </c>
      <c r="R11" s="20">
        <f>'[1]Mass Max'!M11</f>
        <v>-0.1737042659712785</v>
      </c>
      <c r="S11" s="20">
        <f t="shared" si="5"/>
        <v>1798231036360.0005</v>
      </c>
      <c r="T11" s="20">
        <f t="shared" si="6"/>
        <v>6.8901046358759203E-9</v>
      </c>
      <c r="U11" s="24">
        <f t="shared" si="7"/>
        <v>0.70412974781026005</v>
      </c>
      <c r="V11" s="20">
        <f t="shared" si="17"/>
        <v>1.3452418178027934</v>
      </c>
      <c r="W11" s="25">
        <f t="shared" si="8"/>
        <v>0.24789935087567022</v>
      </c>
      <c r="X11" s="24">
        <f t="shared" si="18"/>
        <v>12.254845489049211</v>
      </c>
      <c r="Y11" s="20" t="s">
        <v>36</v>
      </c>
      <c r="Z11" s="2" t="str">
        <f t="shared" si="9"/>
        <v>Fully visible</v>
      </c>
      <c r="AA11" s="2" t="str">
        <f t="shared" si="10"/>
        <v>Partial visible</v>
      </c>
      <c r="AB11" s="20" t="str">
        <f t="shared" si="11"/>
        <v>Partial visible</v>
      </c>
      <c r="AC11" s="4">
        <f t="shared" si="12"/>
        <v>3.7190400000000003E+47</v>
      </c>
      <c r="AD11" s="4">
        <f t="shared" si="13"/>
        <v>9.2150813516962388E+46</v>
      </c>
    </row>
    <row r="12" spans="1:30" x14ac:dyDescent="0.35">
      <c r="A12" s="34" t="s">
        <v>39</v>
      </c>
      <c r="B12" s="5">
        <v>1.2</v>
      </c>
      <c r="C12" s="5">
        <v>1.6</v>
      </c>
      <c r="D12" s="17">
        <v>1.4</v>
      </c>
      <c r="E12" s="6">
        <v>1.4</v>
      </c>
      <c r="F12" s="1">
        <v>5</v>
      </c>
      <c r="G12" s="18">
        <f t="shared" si="19"/>
        <v>0.27999999999999997</v>
      </c>
      <c r="H12" s="19">
        <f t="shared" si="14"/>
        <v>0.41327999999999993</v>
      </c>
      <c r="I12" s="19">
        <f t="shared" si="15"/>
        <v>3.2099142435530938E+17</v>
      </c>
      <c r="J12" s="20">
        <v>0.1</v>
      </c>
      <c r="K12" s="19">
        <f t="shared" si="16"/>
        <v>0.35714285714285721</v>
      </c>
      <c r="L12" s="22">
        <f t="shared" si="0"/>
        <v>0.17306497302127399</v>
      </c>
      <c r="M12" s="21">
        <f t="shared" si="1"/>
        <v>1.73064973021274E-2</v>
      </c>
      <c r="N12" s="22">
        <f t="shared" si="2"/>
        <v>9.7227512933299991E-3</v>
      </c>
      <c r="O12" s="20">
        <f t="shared" si="3"/>
        <v>0.15730337078651685</v>
      </c>
      <c r="P12" s="23">
        <f t="shared" si="4"/>
        <v>-0.14758061949318685</v>
      </c>
      <c r="Q12" s="19">
        <f>'[1]Mass Min'!M13</f>
        <v>-0.11847199166831746</v>
      </c>
      <c r="R12" s="20">
        <f>'[1]Mass Max'!M13</f>
        <v>-0.17668924731805624</v>
      </c>
      <c r="S12" s="20">
        <f t="shared" si="5"/>
        <v>7432121379759.999</v>
      </c>
      <c r="T12" s="20">
        <f t="shared" si="6"/>
        <v>6.7275542802847257E-10</v>
      </c>
      <c r="U12" s="24">
        <f t="shared" si="7"/>
        <v>0.90935967965306552</v>
      </c>
      <c r="V12" s="20">
        <f t="shared" si="17"/>
        <v>0.80655568460446514</v>
      </c>
      <c r="W12" s="25">
        <f t="shared" si="8"/>
        <v>0.413467513489363</v>
      </c>
      <c r="X12" s="24">
        <f t="shared" si="18"/>
        <v>12.871112793844778</v>
      </c>
      <c r="Y12" s="20" t="s">
        <v>36</v>
      </c>
      <c r="Z12" s="2" t="str">
        <f t="shared" si="9"/>
        <v>Invisible (Black hole)</v>
      </c>
      <c r="AA12" s="2" t="str">
        <f t="shared" si="10"/>
        <v>Collapse transition</v>
      </c>
      <c r="AB12" s="20" t="str">
        <f t="shared" si="11"/>
        <v>Partial visible</v>
      </c>
      <c r="AC12" s="4">
        <f t="shared" si="12"/>
        <v>2.5032000000000001E+47</v>
      </c>
      <c r="AD12" s="4">
        <f t="shared" si="13"/>
        <v>1.0344985280007954E+47</v>
      </c>
    </row>
    <row r="13" spans="1:30" x14ac:dyDescent="0.35">
      <c r="A13" s="34" t="s">
        <v>40</v>
      </c>
      <c r="B13" s="5">
        <v>1.97</v>
      </c>
      <c r="C13" s="5">
        <v>2.0499999999999998</v>
      </c>
      <c r="D13" s="17">
        <v>2.0099999999999998</v>
      </c>
      <c r="E13" s="6">
        <v>2.0099999999999998</v>
      </c>
      <c r="F13" s="1">
        <v>13</v>
      </c>
      <c r="G13" s="18">
        <f t="shared" si="19"/>
        <v>0.1546153846153846</v>
      </c>
      <c r="H13" s="19">
        <f t="shared" si="14"/>
        <v>0.22821230769230766</v>
      </c>
      <c r="I13" s="19">
        <f t="shared" si="15"/>
        <v>5.8128602241680794E+17</v>
      </c>
      <c r="J13" s="20">
        <v>0.1</v>
      </c>
      <c r="K13" s="19">
        <f t="shared" si="16"/>
        <v>0.64676616915422891</v>
      </c>
      <c r="L13" s="22">
        <f t="shared" si="0"/>
        <v>0.54336829554196731</v>
      </c>
      <c r="M13" s="21">
        <f t="shared" si="1"/>
        <v>5.4336829554196733E-2</v>
      </c>
      <c r="N13" s="22">
        <f t="shared" si="2"/>
        <v>7.9368402719613207E-2</v>
      </c>
      <c r="O13" s="20">
        <f t="shared" si="3"/>
        <v>0.22584269662921344</v>
      </c>
      <c r="P13" s="23">
        <f t="shared" si="4"/>
        <v>-0.14647429390960023</v>
      </c>
      <c r="Q13" s="19">
        <f>'[1]Mass Min'!M14</f>
        <v>-0.14065256834462639</v>
      </c>
      <c r="R13" s="20">
        <f>'[1]Mass Max'!M14</f>
        <v>-0.15229601947457413</v>
      </c>
      <c r="S13" s="20">
        <f t="shared" si="5"/>
        <v>1578461958296.4492</v>
      </c>
      <c r="T13" s="20">
        <f t="shared" si="6"/>
        <v>8.2358652558407018E-9</v>
      </c>
      <c r="U13" s="24">
        <f t="shared" si="7"/>
        <v>0.67574529555005614</v>
      </c>
      <c r="V13" s="20">
        <f t="shared" si="17"/>
        <v>1.4606282049553498</v>
      </c>
      <c r="W13" s="25">
        <f t="shared" si="8"/>
        <v>0.22831585222901635</v>
      </c>
      <c r="X13" s="24">
        <f t="shared" si="18"/>
        <v>12.198234119645393</v>
      </c>
      <c r="Y13" s="20" t="s">
        <v>36</v>
      </c>
      <c r="Z13" s="2" t="str">
        <f t="shared" si="9"/>
        <v>Fully visible</v>
      </c>
      <c r="AA13" s="2" t="str">
        <f t="shared" si="10"/>
        <v>Partial visible</v>
      </c>
      <c r="AB13" s="20" t="str">
        <f t="shared" si="11"/>
        <v>Partial visible</v>
      </c>
      <c r="AC13" s="4">
        <f t="shared" si="12"/>
        <v>3.5938799999999996E+47</v>
      </c>
      <c r="AD13" s="4">
        <f t="shared" si="13"/>
        <v>8.2014864658085023E+46</v>
      </c>
    </row>
    <row r="14" spans="1:30" x14ac:dyDescent="0.35">
      <c r="A14" s="34" t="s">
        <v>41</v>
      </c>
      <c r="B14" s="5">
        <v>1.7</v>
      </c>
      <c r="C14" s="5">
        <v>2.1</v>
      </c>
      <c r="D14" s="17">
        <v>1.9</v>
      </c>
      <c r="E14" s="6">
        <v>1.9</v>
      </c>
      <c r="F14" s="1">
        <v>12.4</v>
      </c>
      <c r="G14" s="18">
        <f t="shared" si="19"/>
        <v>0.15322580645161288</v>
      </c>
      <c r="H14" s="19">
        <f t="shared" si="14"/>
        <v>0.22616129032258062</v>
      </c>
      <c r="I14" s="19">
        <f t="shared" si="15"/>
        <v>5.8655765134812685E+17</v>
      </c>
      <c r="J14" s="20">
        <v>0.1</v>
      </c>
      <c r="K14" s="19">
        <f t="shared" si="16"/>
        <v>0.65263157894736856</v>
      </c>
      <c r="L14" s="22">
        <f t="shared" si="0"/>
        <v>0.54747219145749448</v>
      </c>
      <c r="M14" s="21">
        <f t="shared" si="1"/>
        <v>5.4747219145749454E-2</v>
      </c>
      <c r="N14" s="22">
        <f t="shared" si="2"/>
        <v>7.6277024427785764E-2</v>
      </c>
      <c r="O14" s="20">
        <f t="shared" si="3"/>
        <v>0.21348314606741572</v>
      </c>
      <c r="P14" s="23">
        <f t="shared" si="4"/>
        <v>-0.13720612163962997</v>
      </c>
      <c r="Q14" s="19">
        <f>'[1]Mass Min'!M15</f>
        <v>-0.10809749381476058</v>
      </c>
      <c r="R14" s="20">
        <f>'[1]Mass Max'!M15</f>
        <v>-0.16631474946449937</v>
      </c>
      <c r="S14" s="20">
        <f t="shared" si="5"/>
        <v>1639966578427.4192</v>
      </c>
      <c r="T14" s="20">
        <f t="shared" si="6"/>
        <v>7.5611296980762184E-9</v>
      </c>
      <c r="U14" s="24">
        <f t="shared" si="7"/>
        <v>0.67270187196298592</v>
      </c>
      <c r="V14" s="20">
        <f t="shared" si="17"/>
        <v>1.4738743878666858</v>
      </c>
      <c r="W14" s="25">
        <f t="shared" si="8"/>
        <v>0.22626390427125276</v>
      </c>
      <c r="X14" s="24">
        <f t="shared" si="18"/>
        <v>12.214834997466935</v>
      </c>
      <c r="Y14" s="20" t="s">
        <v>36</v>
      </c>
      <c r="Z14" s="2" t="str">
        <f t="shared" si="9"/>
        <v>Fully visible</v>
      </c>
      <c r="AA14" s="2" t="str">
        <f t="shared" si="10"/>
        <v>Partial visible</v>
      </c>
      <c r="AB14" s="20" t="str">
        <f t="shared" si="11"/>
        <v>Partial visible</v>
      </c>
      <c r="AC14" s="4">
        <f t="shared" si="12"/>
        <v>3.3971999999999998E+47</v>
      </c>
      <c r="AD14" s="4">
        <f t="shared" si="13"/>
        <v>7.6829733502363226E+46</v>
      </c>
    </row>
    <row r="15" spans="1:30" x14ac:dyDescent="0.35">
      <c r="A15" s="34" t="s">
        <v>42</v>
      </c>
      <c r="B15" s="5">
        <v>1.89</v>
      </c>
      <c r="C15" s="5">
        <v>1.92</v>
      </c>
      <c r="D15" s="17">
        <v>1.9079999999999999</v>
      </c>
      <c r="E15" s="6">
        <v>1.9079999999999999</v>
      </c>
      <c r="F15" s="1">
        <v>13</v>
      </c>
      <c r="G15" s="18">
        <f t="shared" si="19"/>
        <v>0.14676923076923076</v>
      </c>
      <c r="H15" s="19">
        <f t="shared" si="14"/>
        <v>0.21663138461538461</v>
      </c>
      <c r="I15" s="19">
        <f t="shared" si="15"/>
        <v>6.1236089686764774E+17</v>
      </c>
      <c r="J15" s="20">
        <v>0.1</v>
      </c>
      <c r="K15" s="19">
        <f t="shared" si="16"/>
        <v>0.68134171907756824</v>
      </c>
      <c r="L15" s="22">
        <f t="shared" si="0"/>
        <v>0.56654065069356896</v>
      </c>
      <c r="M15" s="21">
        <f t="shared" si="1"/>
        <v>5.6654065069356899E-2</v>
      </c>
      <c r="N15" s="22">
        <f t="shared" si="2"/>
        <v>8.2753128752993219E-2</v>
      </c>
      <c r="O15" s="20">
        <f t="shared" si="3"/>
        <v>0.2143820224719101</v>
      </c>
      <c r="P15" s="23">
        <f t="shared" si="4"/>
        <v>-0.1316288937189169</v>
      </c>
      <c r="Q15" s="19">
        <f>'[1]Mass Min'!M16</f>
        <v>-0.12900911721467864</v>
      </c>
      <c r="R15" s="20">
        <f>'[1]Mass Max'!M16</f>
        <v>-0.13337541138840903</v>
      </c>
      <c r="S15" s="20">
        <f t="shared" si="5"/>
        <v>1498360903696.3313</v>
      </c>
      <c r="T15" s="20">
        <f t="shared" si="6"/>
        <v>8.6761473607126863E-9</v>
      </c>
      <c r="U15" s="24">
        <f t="shared" si="7"/>
        <v>0.65837629764932382</v>
      </c>
      <c r="V15" s="20">
        <f t="shared" si="17"/>
        <v>1.5387121027045354</v>
      </c>
      <c r="W15" s="25">
        <f t="shared" si="8"/>
        <v>0.21672967465321555</v>
      </c>
      <c r="X15" s="24">
        <f t="shared" si="18"/>
        <v>12.17561643259298</v>
      </c>
      <c r="Y15" s="20" t="s">
        <v>36</v>
      </c>
      <c r="Z15" s="2" t="str">
        <f t="shared" si="9"/>
        <v>Fully visible</v>
      </c>
      <c r="AA15" s="2" t="str">
        <f t="shared" si="10"/>
        <v>Partial visible</v>
      </c>
      <c r="AB15" s="20" t="str">
        <f t="shared" si="11"/>
        <v>Partial visible</v>
      </c>
      <c r="AC15" s="4">
        <f t="shared" si="12"/>
        <v>3.4115040000000001E+47</v>
      </c>
      <c r="AD15" s="4">
        <f t="shared" si="13"/>
        <v>7.3902171295916179E+46</v>
      </c>
    </row>
    <row r="16" spans="1:30" x14ac:dyDescent="0.35">
      <c r="A16" s="34" t="s">
        <v>43</v>
      </c>
      <c r="B16" s="5">
        <v>1.66</v>
      </c>
      <c r="C16" s="5">
        <v>2.4</v>
      </c>
      <c r="D16" s="17">
        <f>(1.66+1.8)/2</f>
        <v>1.73</v>
      </c>
      <c r="E16" s="6">
        <f>(1.66+1.8)/2</f>
        <v>1.73</v>
      </c>
      <c r="F16" s="1">
        <v>11</v>
      </c>
      <c r="G16" s="18">
        <f t="shared" si="19"/>
        <v>0.15727272727272726</v>
      </c>
      <c r="H16" s="19">
        <f t="shared" si="14"/>
        <v>0.23213454545454543</v>
      </c>
      <c r="I16" s="19">
        <f t="shared" si="15"/>
        <v>5.7146472792062458E+17</v>
      </c>
      <c r="J16" s="20">
        <v>0.1</v>
      </c>
      <c r="K16" s="19">
        <f t="shared" si="16"/>
        <v>0.63583815028901747</v>
      </c>
      <c r="L16" s="22">
        <f t="shared" si="0"/>
        <v>0.53552026082039095</v>
      </c>
      <c r="M16" s="21">
        <f t="shared" si="1"/>
        <v>5.35520260820391E-2</v>
      </c>
      <c r="N16" s="22">
        <f t="shared" si="2"/>
        <v>6.6187897404767423E-2</v>
      </c>
      <c r="O16" s="20">
        <f t="shared" si="3"/>
        <v>0.19438202247191011</v>
      </c>
      <c r="P16" s="23">
        <f t="shared" si="4"/>
        <v>-0.12819412506714267</v>
      </c>
      <c r="Q16" s="19">
        <f>'[1]Mass Min'!M17</f>
        <v>-0.11800610532843836</v>
      </c>
      <c r="R16" s="20">
        <f>'[1]Mass Max'!M17</f>
        <v>-0.22570802828045514</v>
      </c>
      <c r="S16" s="20">
        <f t="shared" si="5"/>
        <v>1897516231845.4546</v>
      </c>
      <c r="T16" s="20">
        <f t="shared" si="6"/>
        <v>5.7970518593676555E-9</v>
      </c>
      <c r="U16" s="24">
        <f t="shared" si="7"/>
        <v>0.68152750434564935</v>
      </c>
      <c r="V16" s="20">
        <f t="shared" si="17"/>
        <v>1.4359488488911865</v>
      </c>
      <c r="W16" s="25">
        <f t="shared" si="8"/>
        <v>0.23223986958980455</v>
      </c>
      <c r="X16" s="24">
        <f t="shared" si="18"/>
        <v>12.278185499650922</v>
      </c>
      <c r="Y16" s="20" t="s">
        <v>36</v>
      </c>
      <c r="Z16" s="2" t="str">
        <f t="shared" si="9"/>
        <v>Fully visible</v>
      </c>
      <c r="AA16" s="2" t="str">
        <f t="shared" si="10"/>
        <v>Partial visible</v>
      </c>
      <c r="AB16" s="20" t="str">
        <f t="shared" si="11"/>
        <v>Partial visible</v>
      </c>
      <c r="AC16" s="4">
        <f t="shared" si="12"/>
        <v>3.09324E+47</v>
      </c>
      <c r="AD16" s="4">
        <f t="shared" si="13"/>
        <v>7.1803122552263013E+46</v>
      </c>
    </row>
    <row r="17" spans="1:30" x14ac:dyDescent="0.35">
      <c r="A17" s="34" t="s">
        <v>44</v>
      </c>
      <c r="B17" s="5">
        <v>1.46</v>
      </c>
      <c r="C17" s="5">
        <v>1.73</v>
      </c>
      <c r="D17" s="17">
        <v>1.58</v>
      </c>
      <c r="E17" s="6">
        <v>1.58</v>
      </c>
      <c r="F17" s="1">
        <v>9.1</v>
      </c>
      <c r="G17" s="18">
        <f t="shared" si="19"/>
        <v>0.17362637362637365</v>
      </c>
      <c r="H17" s="19">
        <f t="shared" si="14"/>
        <v>0.25627252747252749</v>
      </c>
      <c r="I17" s="19">
        <f t="shared" si="15"/>
        <v>5.1764000855489926E+17</v>
      </c>
      <c r="J17" s="20">
        <v>0.1</v>
      </c>
      <c r="K17" s="19">
        <f t="shared" si="16"/>
        <v>0.57594936708860756</v>
      </c>
      <c r="L17" s="22">
        <f t="shared" si="0"/>
        <v>0.48722239300377279</v>
      </c>
      <c r="M17" s="21">
        <f t="shared" si="1"/>
        <v>4.8722239300377279E-2</v>
      </c>
      <c r="N17" s="22">
        <f t="shared" si="2"/>
        <v>4.9817121082408225E-2</v>
      </c>
      <c r="O17" s="20">
        <f t="shared" si="3"/>
        <v>0.17752808988764046</v>
      </c>
      <c r="P17" s="23">
        <f t="shared" si="4"/>
        <v>-0.12771096880523225</v>
      </c>
      <c r="Q17" s="19">
        <f>'[1]Mass Min'!M18</f>
        <v>-0.11024579211031059</v>
      </c>
      <c r="R17" s="20">
        <f>'[1]Mass Max'!M18</f>
        <v>-0.14954243967388425</v>
      </c>
      <c r="S17" s="20">
        <f t="shared" si="5"/>
        <v>2532206207846.8784</v>
      </c>
      <c r="T17" s="20">
        <f t="shared" si="6"/>
        <v>3.5937041666672486E-9</v>
      </c>
      <c r="U17" s="24">
        <f t="shared" si="7"/>
        <v>0.71608491605132096</v>
      </c>
      <c r="V17" s="20">
        <f t="shared" si="17"/>
        <v>1.3006986609950486</v>
      </c>
      <c r="W17" s="25">
        <f t="shared" si="8"/>
        <v>0.25638880349811366</v>
      </c>
      <c r="X17" s="24">
        <f t="shared" si="18"/>
        <v>12.403499069150813</v>
      </c>
      <c r="Y17" s="20" t="s">
        <v>36</v>
      </c>
      <c r="Z17" s="2" t="str">
        <f t="shared" si="9"/>
        <v>Partial visible</v>
      </c>
      <c r="AA17" s="2" t="str">
        <f t="shared" si="10"/>
        <v>Partial visible</v>
      </c>
      <c r="AB17" s="20" t="str">
        <f t="shared" si="11"/>
        <v>Partial visible</v>
      </c>
      <c r="AC17" s="4">
        <f t="shared" si="12"/>
        <v>2.8250400000000002E+47</v>
      </c>
      <c r="AD17" s="4">
        <f t="shared" si="13"/>
        <v>7.2396336771170298E+46</v>
      </c>
    </row>
    <row r="18" spans="1:30" x14ac:dyDescent="0.35">
      <c r="A18" s="35" t="s">
        <v>45</v>
      </c>
      <c r="B18" s="5">
        <v>1.3</v>
      </c>
      <c r="C18" s="5">
        <v>1.7</v>
      </c>
      <c r="D18" s="26">
        <v>1.51</v>
      </c>
      <c r="E18" s="27">
        <v>1.51</v>
      </c>
      <c r="F18" s="28">
        <v>10.9</v>
      </c>
      <c r="G18" s="18">
        <f t="shared" si="19"/>
        <v>0.13853211009174313</v>
      </c>
      <c r="H18" s="19">
        <f t="shared" si="14"/>
        <v>0.20447339449541285</v>
      </c>
      <c r="I18" s="19">
        <f t="shared" si="15"/>
        <v>6.4877198132269978E+17</v>
      </c>
      <c r="J18" s="20">
        <v>0.1</v>
      </c>
      <c r="K18" s="19">
        <f t="shared" si="16"/>
        <v>0.72185430463576161</v>
      </c>
      <c r="L18" s="22">
        <f t="shared" si="0"/>
        <v>0.59086766358523057</v>
      </c>
      <c r="M18" s="21">
        <f t="shared" si="1"/>
        <v>5.9086766358523057E-2</v>
      </c>
      <c r="N18" s="22">
        <f t="shared" si="2"/>
        <v>7.2364691382910268E-2</v>
      </c>
      <c r="O18" s="20">
        <f t="shared" si="3"/>
        <v>0.16966292134831459</v>
      </c>
      <c r="P18" s="23">
        <f t="shared" si="4"/>
        <v>-9.7298229965404326E-2</v>
      </c>
      <c r="Q18" s="19">
        <f>'[1]Mass Min'!M19</f>
        <v>-6.6734170749291472E-2</v>
      </c>
      <c r="R18" s="20">
        <f>'[1]Mass Max'!M19</f>
        <v>-0.12495142639903024</v>
      </c>
      <c r="S18" s="20">
        <f t="shared" si="5"/>
        <v>1686742230006.7332</v>
      </c>
      <c r="T18" s="20">
        <f t="shared" si="6"/>
        <v>6.4621610854887352E-9</v>
      </c>
      <c r="U18" s="24">
        <f t="shared" si="7"/>
        <v>0.6396345334757727</v>
      </c>
      <c r="V18" s="20">
        <f t="shared" si="17"/>
        <v>1.6302039400084951</v>
      </c>
      <c r="W18" s="25">
        <f t="shared" si="8"/>
        <v>0.20456616820738469</v>
      </c>
      <c r="X18" s="24">
        <f t="shared" si="18"/>
        <v>12.227048718250499</v>
      </c>
      <c r="Y18" s="20" t="s">
        <v>36</v>
      </c>
      <c r="Z18" s="2" t="str">
        <f t="shared" si="9"/>
        <v>Fully visible</v>
      </c>
      <c r="AA18" s="2" t="str">
        <f t="shared" si="10"/>
        <v>Partial visible</v>
      </c>
      <c r="AB18" s="20" t="str">
        <f t="shared" si="11"/>
        <v>Partial visible</v>
      </c>
      <c r="AC18" s="4">
        <f t="shared" si="12"/>
        <v>2.6998799999999999E+47</v>
      </c>
      <c r="AD18" s="4">
        <f t="shared" si="13"/>
        <v>5.5204083825468407E+46</v>
      </c>
    </row>
    <row r="19" spans="1:30" x14ac:dyDescent="0.35">
      <c r="A19" s="34" t="s">
        <v>46</v>
      </c>
      <c r="B19" s="5">
        <v>1.2</v>
      </c>
      <c r="C19" s="5">
        <v>1.6</v>
      </c>
      <c r="D19" s="17">
        <v>1.4</v>
      </c>
      <c r="E19" s="6">
        <v>1.4</v>
      </c>
      <c r="F19" s="1">
        <v>9.6999999999999993</v>
      </c>
      <c r="G19" s="18">
        <f t="shared" si="19"/>
        <v>0.14432989690721651</v>
      </c>
      <c r="H19" s="19">
        <f t="shared" si="14"/>
        <v>0.21303092783505156</v>
      </c>
      <c r="I19" s="19">
        <f t="shared" si="15"/>
        <v>6.2271091999871053E+17</v>
      </c>
      <c r="J19" s="20">
        <v>0.1</v>
      </c>
      <c r="K19" s="19">
        <f t="shared" si="16"/>
        <v>0.69285714285714284</v>
      </c>
      <c r="L19" s="22">
        <f t="shared" si="0"/>
        <v>0.57374483145426503</v>
      </c>
      <c r="M19" s="21">
        <f t="shared" si="1"/>
        <v>5.7374483145426508E-2</v>
      </c>
      <c r="N19" s="22">
        <f t="shared" si="2"/>
        <v>6.2531740057374954E-2</v>
      </c>
      <c r="O19" s="20">
        <f t="shared" si="3"/>
        <v>0.15730337078651685</v>
      </c>
      <c r="P19" s="23">
        <f t="shared" si="4"/>
        <v>-9.4771630729141895E-2</v>
      </c>
      <c r="Q19" s="19">
        <f>'[1]Mass Min'!M20</f>
        <v>-6.5663002904272502E-2</v>
      </c>
      <c r="R19" s="20">
        <f>'[1]Mass Max'!M20</f>
        <v>-0.1238802585540113</v>
      </c>
      <c r="S19" s="20">
        <f t="shared" si="5"/>
        <v>1974737320586.6721</v>
      </c>
      <c r="T19" s="20">
        <f t="shared" si="6"/>
        <v>4.9120457181202409E-9</v>
      </c>
      <c r="U19" s="24">
        <f t="shared" si="7"/>
        <v>0.65288220112493112</v>
      </c>
      <c r="V19" s="20">
        <f t="shared" si="17"/>
        <v>1.5647180281326623</v>
      </c>
      <c r="W19" s="25">
        <f t="shared" si="8"/>
        <v>0.21312758427286749</v>
      </c>
      <c r="X19" s="24">
        <f t="shared" si="18"/>
        <v>12.295509333984326</v>
      </c>
      <c r="Y19" s="20" t="s">
        <v>36</v>
      </c>
      <c r="Z19" s="2" t="str">
        <f t="shared" si="9"/>
        <v>Fully visible</v>
      </c>
      <c r="AA19" s="2" t="str">
        <f t="shared" si="10"/>
        <v>Partial visible</v>
      </c>
      <c r="AB19" s="20" t="str">
        <f t="shared" si="11"/>
        <v>Partial visible</v>
      </c>
      <c r="AC19" s="4">
        <f t="shared" si="12"/>
        <v>2.5032000000000001E+47</v>
      </c>
      <c r="AD19" s="4">
        <f t="shared" si="13"/>
        <v>5.3324666391793574E+46</v>
      </c>
    </row>
    <row r="20" spans="1:30" x14ac:dyDescent="0.35">
      <c r="A20" s="34" t="s">
        <v>47</v>
      </c>
      <c r="B20" s="5">
        <v>1.2</v>
      </c>
      <c r="C20" s="5">
        <v>1.6</v>
      </c>
      <c r="D20" s="17">
        <v>1.4</v>
      </c>
      <c r="E20" s="6">
        <v>1.4</v>
      </c>
      <c r="F20" s="1">
        <v>10</v>
      </c>
      <c r="G20" s="18">
        <f t="shared" si="19"/>
        <v>0.13999999999999999</v>
      </c>
      <c r="H20" s="19">
        <f t="shared" si="14"/>
        <v>0.20663999999999996</v>
      </c>
      <c r="I20" s="19">
        <f t="shared" si="15"/>
        <v>6.4196984283697997E+17</v>
      </c>
      <c r="J20" s="20">
        <v>0.1</v>
      </c>
      <c r="K20" s="19">
        <f t="shared" si="16"/>
        <v>0.71428571428571441</v>
      </c>
      <c r="L20" s="22">
        <f t="shared" si="0"/>
        <v>0.58653248651063694</v>
      </c>
      <c r="M20" s="21">
        <f t="shared" si="1"/>
        <v>5.8653248651063694E-2</v>
      </c>
      <c r="N20" s="22">
        <f t="shared" si="2"/>
        <v>6.5902526574228862E-2</v>
      </c>
      <c r="O20" s="20">
        <f t="shared" si="3"/>
        <v>0.15730337078651685</v>
      </c>
      <c r="P20" s="23">
        <f t="shared" si="4"/>
        <v>-9.1400844212287988E-2</v>
      </c>
      <c r="Q20" s="19">
        <f>'[1]Mass Min'!M21</f>
        <v>-6.2292216387418567E-2</v>
      </c>
      <c r="R20" s="20">
        <f>'[1]Mass Max'!M21</f>
        <v>-0.12050947203715737</v>
      </c>
      <c r="S20" s="20">
        <f t="shared" si="5"/>
        <v>1858030344939.9998</v>
      </c>
      <c r="T20" s="20">
        <f t="shared" si="6"/>
        <v>5.3820434242277806E-9</v>
      </c>
      <c r="U20" s="24">
        <f t="shared" si="7"/>
        <v>0.64301439602030908</v>
      </c>
      <c r="V20" s="20">
        <f t="shared" si="17"/>
        <v>1.6131113692089303</v>
      </c>
      <c r="W20" s="25">
        <f t="shared" si="8"/>
        <v>0.2067337567446815</v>
      </c>
      <c r="X20" s="24">
        <f t="shared" si="18"/>
        <v>12.269052802516816</v>
      </c>
      <c r="Y20" s="20" t="s">
        <v>36</v>
      </c>
      <c r="Z20" s="2" t="str">
        <f t="shared" si="9"/>
        <v>Fully visible</v>
      </c>
      <c r="AA20" s="2" t="str">
        <f t="shared" si="10"/>
        <v>Partial visible</v>
      </c>
      <c r="AB20" s="20" t="str">
        <f t="shared" si="11"/>
        <v>Partial visible</v>
      </c>
      <c r="AC20" s="4">
        <f t="shared" si="12"/>
        <v>2.5032000000000001E+47</v>
      </c>
      <c r="AD20" s="4">
        <f t="shared" si="13"/>
        <v>5.172492640003977E+46</v>
      </c>
    </row>
    <row r="21" spans="1:30" x14ac:dyDescent="0.35">
      <c r="A21" s="34" t="s">
        <v>48</v>
      </c>
      <c r="B21" s="5">
        <v>1.3</v>
      </c>
      <c r="C21" s="5">
        <v>1.8</v>
      </c>
      <c r="D21" s="17">
        <v>1.5</v>
      </c>
      <c r="E21" s="6">
        <v>1.5</v>
      </c>
      <c r="F21" s="1">
        <v>12.1</v>
      </c>
      <c r="G21" s="18">
        <f t="shared" si="19"/>
        <v>0.12396694214876033</v>
      </c>
      <c r="H21" s="19">
        <f t="shared" si="14"/>
        <v>0.18297520661157024</v>
      </c>
      <c r="I21" s="19">
        <f t="shared" si="15"/>
        <v>7.249972038853321E+17</v>
      </c>
      <c r="J21" s="20">
        <v>0.1</v>
      </c>
      <c r="K21" s="19">
        <f t="shared" si="16"/>
        <v>0.80666666666666664</v>
      </c>
      <c r="L21" s="22">
        <f t="shared" si="0"/>
        <v>0.63388354767765975</v>
      </c>
      <c r="M21" s="21">
        <f t="shared" si="1"/>
        <v>6.3388354767765984E-2</v>
      </c>
      <c r="N21" s="22">
        <f t="shared" si="2"/>
        <v>8.6179673335951501E-2</v>
      </c>
      <c r="O21" s="20">
        <f t="shared" si="3"/>
        <v>0.16853932584269662</v>
      </c>
      <c r="P21" s="23">
        <f t="shared" si="4"/>
        <v>-8.2359652506745124E-2</v>
      </c>
      <c r="Q21" s="19">
        <f>'[1]Mass Min'!M22</f>
        <v>-5.3251024681875772E-2</v>
      </c>
      <c r="R21" s="20">
        <f>'[1]Mass Max'!M22</f>
        <v>-0.12602259424404921</v>
      </c>
      <c r="S21" s="20">
        <f t="shared" si="5"/>
        <v>1359706849361.3821</v>
      </c>
      <c r="T21" s="20">
        <f t="shared" si="6"/>
        <v>8.8989770152904982E-9</v>
      </c>
      <c r="U21" s="24">
        <f t="shared" si="7"/>
        <v>0.60507557571128279</v>
      </c>
      <c r="V21" s="20">
        <f t="shared" si="17"/>
        <v>1.8217404396266186</v>
      </c>
      <c r="W21" s="25">
        <f t="shared" si="8"/>
        <v>0.18305822616117012</v>
      </c>
      <c r="X21" s="24">
        <f t="shared" si="18"/>
        <v>12.133445285261358</v>
      </c>
      <c r="Y21" s="20" t="s">
        <v>36</v>
      </c>
      <c r="Z21" s="2" t="str">
        <f t="shared" si="9"/>
        <v>Fully visible</v>
      </c>
      <c r="AA21" s="2" t="str">
        <f t="shared" si="10"/>
        <v>Partial visible</v>
      </c>
      <c r="AB21" s="20" t="str">
        <f t="shared" si="11"/>
        <v>Partial visible</v>
      </c>
      <c r="AC21" s="4">
        <f t="shared" si="12"/>
        <v>2.6819999999999999E+47</v>
      </c>
      <c r="AD21" s="4">
        <f t="shared" si="13"/>
        <v>4.9072813459305738E+46</v>
      </c>
    </row>
    <row r="22" spans="1:30" ht="15" thickBot="1" x14ac:dyDescent="0.4">
      <c r="A22" s="45" t="s">
        <v>49</v>
      </c>
      <c r="B22" s="39">
        <v>1.2</v>
      </c>
      <c r="C22" s="39">
        <v>1.6</v>
      </c>
      <c r="D22" s="40">
        <v>1.4</v>
      </c>
      <c r="E22" s="46">
        <v>1.4</v>
      </c>
      <c r="F22" s="47">
        <v>12.5</v>
      </c>
      <c r="G22" s="48">
        <f t="shared" si="19"/>
        <v>0.11199999999999999</v>
      </c>
      <c r="H22" s="49">
        <f t="shared" si="14"/>
        <v>0.16531199999999999</v>
      </c>
      <c r="I22" s="49">
        <f t="shared" si="15"/>
        <v>8.0246117015267443E+17</v>
      </c>
      <c r="J22" s="50">
        <v>0.1</v>
      </c>
      <c r="K22" s="49">
        <f t="shared" si="16"/>
        <v>0.89285714285714302</v>
      </c>
      <c r="L22" s="33">
        <f t="shared" si="0"/>
        <v>0.66922598920850973</v>
      </c>
      <c r="M22" s="32">
        <f t="shared" si="1"/>
        <v>6.6922598920850979E-2</v>
      </c>
      <c r="N22" s="33">
        <f t="shared" si="2"/>
        <v>9.3992414214678341E-2</v>
      </c>
      <c r="O22" s="50">
        <f t="shared" si="3"/>
        <v>0.15730337078651685</v>
      </c>
      <c r="P22" s="51">
        <f t="shared" si="4"/>
        <v>-6.3310956571838509E-2</v>
      </c>
      <c r="Q22" s="49">
        <f>'[1]Mass Min'!M23</f>
        <v>-3.4202328746969116E-2</v>
      </c>
      <c r="R22" s="50">
        <f>'[1]Mass Max'!M23</f>
        <v>-9.2419584396707916E-2</v>
      </c>
      <c r="S22" s="50">
        <f t="shared" si="5"/>
        <v>1189139420761.5999</v>
      </c>
      <c r="T22" s="50">
        <f t="shared" si="6"/>
        <v>1.0511803562944883E-8</v>
      </c>
      <c r="U22" s="52">
        <f t="shared" si="7"/>
        <v>0.57512956000495252</v>
      </c>
      <c r="V22" s="50">
        <f t="shared" si="17"/>
        <v>2.016389211511163</v>
      </c>
      <c r="W22" s="53">
        <f t="shared" si="8"/>
        <v>0.16538700539574516</v>
      </c>
      <c r="X22" s="52">
        <f t="shared" si="18"/>
        <v>12.075232776500703</v>
      </c>
      <c r="Y22" s="50" t="s">
        <v>36</v>
      </c>
      <c r="Z22" s="37" t="str">
        <f t="shared" si="9"/>
        <v>Fully visible</v>
      </c>
      <c r="AA22" s="37" t="str">
        <f t="shared" si="10"/>
        <v>Fully visible</v>
      </c>
      <c r="AB22" s="50" t="str">
        <f t="shared" si="11"/>
        <v>Partial visible</v>
      </c>
      <c r="AC22" s="7">
        <f t="shared" si="12"/>
        <v>2.5032000000000001E+47</v>
      </c>
      <c r="AD22" s="7">
        <f t="shared" si="13"/>
        <v>4.1379941120031817E+46</v>
      </c>
    </row>
    <row r="23" spans="1:30" x14ac:dyDescent="0.35">
      <c r="A23" s="61" t="s">
        <v>50</v>
      </c>
      <c r="B23" s="62"/>
      <c r="C23" s="62"/>
      <c r="D23" s="63"/>
      <c r="E23" s="64">
        <v>1200000000000000</v>
      </c>
      <c r="F23" s="64">
        <v>4.62852E+19</v>
      </c>
      <c r="G23" s="65">
        <f t="shared" si="19"/>
        <v>2.5926213994970316E-5</v>
      </c>
      <c r="H23" s="66">
        <f t="shared" si="14"/>
        <v>3.8267091856576183E-5</v>
      </c>
      <c r="I23" s="66">
        <f t="shared" si="15"/>
        <v>3.4665885999057789E+21</v>
      </c>
      <c r="J23" s="64">
        <v>1</v>
      </c>
      <c r="K23" s="66">
        <f t="shared" si="16"/>
        <v>38571</v>
      </c>
      <c r="L23" s="64">
        <f t="shared" si="0"/>
        <v>0.99992343109118076</v>
      </c>
      <c r="M23" s="66">
        <f t="shared" si="1"/>
        <v>0.99992343109118076</v>
      </c>
      <c r="N23" s="64">
        <f t="shared" si="2"/>
        <v>5.2001860666001705E+18</v>
      </c>
      <c r="O23" s="64">
        <f t="shared" si="3"/>
        <v>134831460674157.3</v>
      </c>
      <c r="P23" s="64">
        <f t="shared" si="4"/>
        <v>5.2000512351394959E+18</v>
      </c>
      <c r="Q23" s="66">
        <f>'[1]Mass Min'!M23</f>
        <v>-3.4202328746969116E-2</v>
      </c>
      <c r="R23" s="64">
        <f>'[1]Mass Max'!M23</f>
        <v>-9.2419584396707916E-2</v>
      </c>
      <c r="S23" s="64">
        <f t="shared" si="5"/>
        <v>7.4339857375055645E-11</v>
      </c>
      <c r="T23" s="64">
        <f t="shared" si="6"/>
        <v>6.2261620662633605E+32</v>
      </c>
      <c r="U23" s="64">
        <f t="shared" si="7"/>
        <v>8.7503662105788051E-3</v>
      </c>
      <c r="V23" s="64">
        <f t="shared" si="17"/>
        <v>8710.704607046071</v>
      </c>
      <c r="W23" s="64">
        <f t="shared" si="8"/>
        <v>3.8284454409619648E-5</v>
      </c>
      <c r="X23" s="67">
        <f t="shared" si="18"/>
        <v>-10.128778276456405</v>
      </c>
      <c r="Y23" s="64" t="s">
        <v>51</v>
      </c>
      <c r="Z23" s="68" t="str">
        <f t="shared" si="9"/>
        <v>Fully visible</v>
      </c>
      <c r="AA23" s="68" t="str">
        <f t="shared" si="10"/>
        <v>Fully visible</v>
      </c>
      <c r="AB23" s="64" t="str">
        <f t="shared" si="11"/>
        <v>Fully visible</v>
      </c>
      <c r="AC23" s="69">
        <f t="shared" si="12"/>
        <v>2.1455999999999999E+62</v>
      </c>
      <c r="AD23" s="69">
        <f t="shared" si="13"/>
        <v>8.2103970044174758E+57</v>
      </c>
    </row>
    <row r="24" spans="1:30" x14ac:dyDescent="0.35">
      <c r="A24" s="70" t="s">
        <v>52</v>
      </c>
      <c r="B24" s="71"/>
      <c r="C24" s="71"/>
      <c r="D24" s="72"/>
      <c r="E24" s="73">
        <v>2000000000000</v>
      </c>
      <c r="F24" s="73">
        <v>5.67642E+17</v>
      </c>
      <c r="G24" s="74">
        <f t="shared" si="19"/>
        <v>3.5233474619566559E-6</v>
      </c>
      <c r="H24" s="75">
        <f t="shared" si="14"/>
        <v>5.2004608538480238E-6</v>
      </c>
      <c r="I24" s="75">
        <f t="shared" si="15"/>
        <v>2.5508559358426232E+22</v>
      </c>
      <c r="J24" s="73">
        <v>0.9</v>
      </c>
      <c r="K24" s="75">
        <f t="shared" si="16"/>
        <v>255438.9</v>
      </c>
      <c r="L24" s="73">
        <f t="shared" si="0"/>
        <v>0.99998959435918389</v>
      </c>
      <c r="M24" s="75">
        <f t="shared" si="1"/>
        <v>0.89999063492326548</v>
      </c>
      <c r="N24" s="73">
        <f t="shared" si="2"/>
        <v>5.7401402695405872E+16</v>
      </c>
      <c r="O24" s="73">
        <f t="shared" si="3"/>
        <v>224719101123.59549</v>
      </c>
      <c r="P24" s="73">
        <f t="shared" si="4"/>
        <v>5.7401177976304752E+16</v>
      </c>
      <c r="Q24" s="75">
        <f>'[1]Mass Min'!M22</f>
        <v>-5.3251024681875772E-2</v>
      </c>
      <c r="R24" s="73">
        <f>'[1]Mass Max'!M22</f>
        <v>-0.12602259424404921</v>
      </c>
      <c r="S24" s="73">
        <f t="shared" si="5"/>
        <v>8.2376952124286572E-10</v>
      </c>
      <c r="T24" s="73">
        <f t="shared" si="6"/>
        <v>6.8907866261374635E+29</v>
      </c>
      <c r="U24" s="73">
        <f t="shared" si="7"/>
        <v>3.2257775521728053E-3</v>
      </c>
      <c r="V24" s="73">
        <f t="shared" si="17"/>
        <v>64096.883468834691</v>
      </c>
      <c r="W24" s="73">
        <f t="shared" si="8"/>
        <v>5.202820408050987E-6</v>
      </c>
      <c r="X24" s="76">
        <f t="shared" si="18"/>
        <v>-9.0841942806011478</v>
      </c>
      <c r="Y24" s="73" t="s">
        <v>51</v>
      </c>
      <c r="Z24" s="77" t="str">
        <f t="shared" si="9"/>
        <v>Fully visible</v>
      </c>
      <c r="AA24" s="77" t="str">
        <f t="shared" si="10"/>
        <v>Fully visible</v>
      </c>
      <c r="AB24" s="73" t="str">
        <f t="shared" si="11"/>
        <v>Fully visible</v>
      </c>
      <c r="AC24" s="78">
        <f t="shared" si="12"/>
        <v>3.5759999999999998E+59</v>
      </c>
      <c r="AD24" s="78">
        <f t="shared" si="13"/>
        <v>1.8596417158313779E+54</v>
      </c>
    </row>
    <row r="25" spans="1:30" ht="15" thickBot="1" x14ac:dyDescent="0.4">
      <c r="A25" s="79" t="s">
        <v>53</v>
      </c>
      <c r="B25" s="80"/>
      <c r="C25" s="80"/>
      <c r="D25" s="81"/>
      <c r="E25" s="82">
        <v>100000000000000</v>
      </c>
      <c r="F25" s="82">
        <v>1.89214E+19</v>
      </c>
      <c r="G25" s="83">
        <f t="shared" si="19"/>
        <v>5.2850211929349838E-6</v>
      </c>
      <c r="H25" s="84">
        <f t="shared" si="14"/>
        <v>7.8006912807720352E-6</v>
      </c>
      <c r="I25" s="84">
        <f t="shared" si="15"/>
        <v>1.700570623895082E+22</v>
      </c>
      <c r="J25" s="82">
        <v>0.9</v>
      </c>
      <c r="K25" s="84">
        <f t="shared" si="16"/>
        <v>170292.6</v>
      </c>
      <c r="L25" s="82">
        <f t="shared" si="0"/>
        <v>0.99998439153877583</v>
      </c>
      <c r="M25" s="84">
        <f t="shared" si="1"/>
        <v>0.89998595238489831</v>
      </c>
      <c r="N25" s="82">
        <f t="shared" si="2"/>
        <v>1.9133701347702938E+18</v>
      </c>
      <c r="O25" s="82">
        <f t="shared" si="3"/>
        <v>11235955056179.775</v>
      </c>
      <c r="P25" s="82">
        <f t="shared" si="4"/>
        <v>1.9133588988152376E+18</v>
      </c>
      <c r="Q25" s="84">
        <f>'[1]Mass Min'!M23</f>
        <v>-3.4202328746969116E-2</v>
      </c>
      <c r="R25" s="82">
        <f>'[1]Mass Max'!M23</f>
        <v>-9.2419584396707916E-2</v>
      </c>
      <c r="S25" s="82">
        <f t="shared" si="5"/>
        <v>3.7069628455928944E-11</v>
      </c>
      <c r="T25" s="82">
        <f t="shared" si="6"/>
        <v>5.1042863897314567E+32</v>
      </c>
      <c r="U25" s="82">
        <f t="shared" si="7"/>
        <v>3.9507545132737567E-3</v>
      </c>
      <c r="V25" s="82">
        <f t="shared" si="17"/>
        <v>42731.255645889789</v>
      </c>
      <c r="W25" s="82">
        <f t="shared" si="8"/>
        <v>7.8042306120764797E-6</v>
      </c>
      <c r="X25" s="85">
        <f t="shared" si="18"/>
        <v>-10.430981766825804</v>
      </c>
      <c r="Y25" s="82" t="s">
        <v>51</v>
      </c>
      <c r="Z25" s="86" t="str">
        <f t="shared" si="9"/>
        <v>Fully visible</v>
      </c>
      <c r="AA25" s="86" t="str">
        <f t="shared" si="10"/>
        <v>Fully visible</v>
      </c>
      <c r="AB25" s="82" t="str">
        <f t="shared" si="11"/>
        <v>Fully visible</v>
      </c>
      <c r="AC25" s="87">
        <f t="shared" si="12"/>
        <v>1.7879999999999999E+61</v>
      </c>
      <c r="AD25" s="87">
        <f t="shared" si="13"/>
        <v>1.3947312868735328E+56</v>
      </c>
    </row>
    <row r="26" spans="1:30" x14ac:dyDescent="0.35">
      <c r="A26" s="88" t="s">
        <v>54</v>
      </c>
      <c r="B26" s="71">
        <v>0.6</v>
      </c>
      <c r="C26" s="71">
        <v>0.9</v>
      </c>
      <c r="D26" s="72">
        <v>0.77</v>
      </c>
      <c r="E26" s="73">
        <v>0.77</v>
      </c>
      <c r="F26" s="73">
        <v>10.4</v>
      </c>
      <c r="G26" s="74">
        <f t="shared" si="19"/>
        <v>7.4038461538461539E-2</v>
      </c>
      <c r="H26" s="75">
        <f t="shared" si="14"/>
        <v>0.10928076923076924</v>
      </c>
      <c r="I26" s="75">
        <f t="shared" si="15"/>
        <v>1.2139040433723131E+18</v>
      </c>
      <c r="J26" s="73">
        <v>0.1</v>
      </c>
      <c r="K26" s="75">
        <f t="shared" si="16"/>
        <v>1.3506493506493507</v>
      </c>
      <c r="L26" s="73">
        <f t="shared" si="0"/>
        <v>0.78133929575081762</v>
      </c>
      <c r="M26" s="75">
        <f t="shared" si="1"/>
        <v>7.8133929575081765E-2</v>
      </c>
      <c r="N26" s="73">
        <f t="shared" si="2"/>
        <v>9.1302569391106772E-2</v>
      </c>
      <c r="O26" s="73">
        <f t="shared" si="3"/>
        <v>8.6516853932584264E-2</v>
      </c>
      <c r="P26" s="73">
        <f t="shared" si="4"/>
        <v>4.7857154585225076E-3</v>
      </c>
      <c r="Q26" s="75">
        <f>'[1]Mass Min'!M24</f>
        <v>2.9528049109661503E-2</v>
      </c>
      <c r="R26" s="73">
        <f>'[1]Mass Max'!M24</f>
        <v>-1.4134892627642587E-2</v>
      </c>
      <c r="S26" s="73">
        <f t="shared" si="5"/>
        <v>944819424664.38599</v>
      </c>
      <c r="T26" s="73">
        <f t="shared" si="6"/>
        <v>1.1007394353364651E-8</v>
      </c>
      <c r="U26" s="73">
        <f t="shared" si="7"/>
        <v>0.46761170242967864</v>
      </c>
      <c r="V26" s="73">
        <f t="shared" si="17"/>
        <v>3.0502469526859772</v>
      </c>
      <c r="W26" s="73">
        <f t="shared" si="8"/>
        <v>0.10933035212459118</v>
      </c>
      <c r="X26" s="76">
        <f t="shared" si="18"/>
        <v>11.975348813413499</v>
      </c>
      <c r="Y26" s="73" t="s">
        <v>51</v>
      </c>
      <c r="Z26" s="77" t="str">
        <f t="shared" si="9"/>
        <v>Fully visible</v>
      </c>
      <c r="AA26" s="77" t="str">
        <f t="shared" si="10"/>
        <v>Fully visible</v>
      </c>
      <c r="AB26" s="73" t="str">
        <f t="shared" si="11"/>
        <v>Fully visible</v>
      </c>
      <c r="AC26" s="78">
        <f t="shared" si="12"/>
        <v>1.3767600000000001E+47</v>
      </c>
      <c r="AD26" s="78">
        <f t="shared" si="13"/>
        <v>1.5044990611550034E+46</v>
      </c>
    </row>
    <row r="27" spans="1:30" x14ac:dyDescent="0.35">
      <c r="A27" s="88" t="s">
        <v>55</v>
      </c>
      <c r="B27" s="89"/>
      <c r="C27" s="89"/>
      <c r="D27" s="75"/>
      <c r="E27" s="73">
        <f>1.76E-20</f>
        <v>1.76E-20</v>
      </c>
      <c r="F27" s="73">
        <v>0.16500000000000001</v>
      </c>
      <c r="G27" s="74">
        <f t="shared" si="19"/>
        <v>1.0666666666666666E-19</v>
      </c>
      <c r="H27" s="75">
        <f t="shared" si="14"/>
        <v>1.5744E-19</v>
      </c>
      <c r="I27" s="75">
        <f t="shared" si="15"/>
        <v>8.4258298006576654E+35</v>
      </c>
      <c r="J27" s="73">
        <v>1</v>
      </c>
      <c r="K27" s="75">
        <f t="shared" si="16"/>
        <v>9.375E+18</v>
      </c>
      <c r="L27" s="73">
        <f t="shared" si="0"/>
        <v>1</v>
      </c>
      <c r="M27" s="75">
        <f t="shared" si="1"/>
        <v>1</v>
      </c>
      <c r="N27" s="73">
        <f t="shared" si="2"/>
        <v>1.853932584269663E-2</v>
      </c>
      <c r="O27" s="73">
        <f t="shared" si="3"/>
        <v>1.9775280898876402E-21</v>
      </c>
      <c r="P27" s="73">
        <f t="shared" si="4"/>
        <v>1.853932584269663E-2</v>
      </c>
      <c r="Q27" s="75">
        <f>'[1]Mass Min'!M24</f>
        <v>2.9528049109661503E-2</v>
      </c>
      <c r="R27" s="73">
        <f>'[1]Mass Max'!M24</f>
        <v>-1.4134892627642587E-2</v>
      </c>
      <c r="S27" s="73">
        <f t="shared" si="5"/>
        <v>8.5796495004444433E-5</v>
      </c>
      <c r="T27" s="73">
        <f t="shared" si="6"/>
        <v>1923155.4854478922</v>
      </c>
      <c r="U27" s="73">
        <f t="shared" si="7"/>
        <v>5.6126897956369105E-10</v>
      </c>
      <c r="V27" s="73">
        <f t="shared" si="17"/>
        <v>2.117208672086721E+18</v>
      </c>
      <c r="W27" s="73">
        <f t="shared" si="8"/>
        <v>1.5751143371023349E-19</v>
      </c>
      <c r="X27" s="76">
        <f t="shared" si="18"/>
        <v>-4.0665304537750853</v>
      </c>
      <c r="Y27" s="73" t="s">
        <v>51</v>
      </c>
      <c r="Z27" s="77" t="str">
        <f t="shared" si="9"/>
        <v>Fully visible</v>
      </c>
      <c r="AA27" s="77" t="str">
        <f t="shared" si="10"/>
        <v>Fully visible</v>
      </c>
      <c r="AB27" s="73" t="str">
        <f t="shared" si="11"/>
        <v>Fully visible</v>
      </c>
      <c r="AC27" s="78">
        <f t="shared" si="12"/>
        <v>3.1468800000000001E+27</v>
      </c>
      <c r="AD27" s="78">
        <f t="shared" si="13"/>
        <v>495433308.64800006</v>
      </c>
    </row>
    <row r="28" spans="1:30" x14ac:dyDescent="0.35">
      <c r="A28" s="90" t="s">
        <v>56</v>
      </c>
      <c r="B28" s="75"/>
      <c r="C28" s="75"/>
      <c r="D28" s="75">
        <v>3.7000000000000001E-20</v>
      </c>
      <c r="E28" s="73">
        <v>3.7000000000000001E-20</v>
      </c>
      <c r="F28" s="73">
        <v>0.245</v>
      </c>
      <c r="G28" s="74">
        <f t="shared" si="19"/>
        <v>1.510204081632653E-19</v>
      </c>
      <c r="H28" s="75">
        <f t="shared" si="14"/>
        <v>2.2290612244897957E-19</v>
      </c>
      <c r="I28" s="75">
        <f t="shared" si="15"/>
        <v>5.951216724068117E+35</v>
      </c>
      <c r="J28" s="73">
        <v>1</v>
      </c>
      <c r="K28" s="75">
        <f t="shared" si="16"/>
        <v>6.6216216216216218E+18</v>
      </c>
      <c r="L28" s="73">
        <f t="shared" si="0"/>
        <v>1</v>
      </c>
      <c r="M28" s="75">
        <f t="shared" si="1"/>
        <v>1</v>
      </c>
      <c r="N28" s="73">
        <f t="shared" si="2"/>
        <v>2.7528089887640449E-2</v>
      </c>
      <c r="O28" s="73">
        <f t="shared" si="3"/>
        <v>4.157303370786517E-21</v>
      </c>
      <c r="P28" s="73">
        <f t="shared" si="4"/>
        <v>2.7528089887640449E-2</v>
      </c>
      <c r="Q28" s="75">
        <f>'[1]Mass Min'!M25</f>
        <v>2.7528089887640449E-2</v>
      </c>
      <c r="R28" s="73">
        <f>'[1]Mass Max'!M25</f>
        <v>2.7528089887640449E-2</v>
      </c>
      <c r="S28" s="73">
        <f t="shared" si="5"/>
        <v>8.1807726260224904E-5</v>
      </c>
      <c r="T28" s="73">
        <f t="shared" si="6"/>
        <v>2994827.1538640666</v>
      </c>
      <c r="U28" s="73">
        <f t="shared" si="7"/>
        <v>6.6784318438117322E-10</v>
      </c>
      <c r="V28" s="73">
        <f t="shared" si="17"/>
        <v>1.4953978368612516E+18</v>
      </c>
      <c r="W28" s="73">
        <f t="shared" si="8"/>
        <v>2.2300725946219287E-19</v>
      </c>
      <c r="X28" s="76">
        <f t="shared" si="18"/>
        <v>-4.0872056778234924</v>
      </c>
      <c r="Y28" s="73" t="s">
        <v>51</v>
      </c>
      <c r="Z28" s="77" t="str">
        <f t="shared" si="9"/>
        <v>Fully visible</v>
      </c>
      <c r="AA28" s="77" t="str">
        <f t="shared" si="10"/>
        <v>Fully visible</v>
      </c>
      <c r="AB28" s="73" t="str">
        <f t="shared" si="11"/>
        <v>Fully visible</v>
      </c>
      <c r="AC28" s="78">
        <f t="shared" si="12"/>
        <v>6.6155999999999999E+27</v>
      </c>
      <c r="AD28" s="78">
        <f t="shared" si="13"/>
        <v>1474623578.5434082</v>
      </c>
    </row>
    <row r="29" spans="1:30" x14ac:dyDescent="0.35">
      <c r="A29" s="90" t="s">
        <v>57</v>
      </c>
      <c r="B29" s="75"/>
      <c r="C29" s="75"/>
      <c r="D29" s="75">
        <v>3.7E-8</v>
      </c>
      <c r="E29" s="73">
        <v>3.7E-8</v>
      </c>
      <c r="F29" s="73">
        <v>1737</v>
      </c>
      <c r="G29" s="74">
        <f t="shared" si="19"/>
        <v>2.1301093839953943E-11</v>
      </c>
      <c r="H29" s="75">
        <f t="shared" si="14"/>
        <v>3.1440414507772021E-11</v>
      </c>
      <c r="I29" s="75">
        <f t="shared" si="15"/>
        <v>4.2192912039617625E+27</v>
      </c>
      <c r="J29" s="73">
        <v>1</v>
      </c>
      <c r="K29" s="75">
        <f t="shared" si="16"/>
        <v>46945945945.945946</v>
      </c>
      <c r="L29" s="73">
        <f t="shared" si="0"/>
        <v>0.99999999993709066</v>
      </c>
      <c r="M29" s="75">
        <f t="shared" si="1"/>
        <v>0.99999999993709066</v>
      </c>
      <c r="N29" s="73">
        <f t="shared" si="2"/>
        <v>195.16853931356476</v>
      </c>
      <c r="O29" s="73">
        <f t="shared" si="3"/>
        <v>4.1573033707865164E-9</v>
      </c>
      <c r="P29" s="73">
        <f t="shared" si="4"/>
        <v>195.16853930940746</v>
      </c>
      <c r="Q29" s="75">
        <f>'[1]Mass Min'!M26</f>
        <v>195.16853930940746</v>
      </c>
      <c r="R29" s="73">
        <f>'[1]Mass Max'!M26</f>
        <v>195.16853930940746</v>
      </c>
      <c r="S29" s="73">
        <f t="shared" si="5"/>
        <v>1.627521948147419</v>
      </c>
      <c r="T29" s="73">
        <f t="shared" si="6"/>
        <v>1067266.7130401516</v>
      </c>
      <c r="U29" s="73">
        <f t="shared" si="7"/>
        <v>7.9315420517474519E-6</v>
      </c>
      <c r="V29" s="73">
        <f t="shared" si="17"/>
        <v>10602065480.11426</v>
      </c>
      <c r="W29" s="73">
        <f t="shared" si="8"/>
        <v>3.1454679659319092E-11</v>
      </c>
      <c r="X29" s="76">
        <f t="shared" si="18"/>
        <v>0.21152685401137522</v>
      </c>
      <c r="Y29" s="73" t="s">
        <v>51</v>
      </c>
      <c r="Z29" s="77" t="str">
        <f t="shared" si="9"/>
        <v>Fully visible</v>
      </c>
      <c r="AA29" s="77" t="str">
        <f t="shared" si="10"/>
        <v>Fully visible</v>
      </c>
      <c r="AB29" s="73" t="str">
        <f t="shared" si="11"/>
        <v>Fully visible</v>
      </c>
      <c r="AC29" s="78">
        <f t="shared" si="12"/>
        <v>6.6156000000000001E+39</v>
      </c>
      <c r="AD29" s="78">
        <f t="shared" si="13"/>
        <v>2.079923873017473E+29</v>
      </c>
    </row>
    <row r="30" spans="1:30" x14ac:dyDescent="0.35">
      <c r="A30" s="90" t="s">
        <v>58</v>
      </c>
      <c r="B30" s="75"/>
      <c r="C30" s="75"/>
      <c r="D30" s="75">
        <v>1.2</v>
      </c>
      <c r="E30" s="73">
        <v>1.2</v>
      </c>
      <c r="F30" s="73">
        <v>7000</v>
      </c>
      <c r="G30" s="74">
        <f t="shared" si="19"/>
        <v>1.7142857142857143E-4</v>
      </c>
      <c r="H30" s="75">
        <f t="shared" si="14"/>
        <v>2.5302857142857143E-4</v>
      </c>
      <c r="I30" s="75">
        <f t="shared" si="15"/>
        <v>5.2427385426314691E+20</v>
      </c>
      <c r="J30" s="73">
        <v>0.45</v>
      </c>
      <c r="K30" s="75">
        <f t="shared" si="16"/>
        <v>2625</v>
      </c>
      <c r="L30" s="73">
        <f t="shared" si="0"/>
        <v>0.99949371324878855</v>
      </c>
      <c r="M30" s="75">
        <f t="shared" si="1"/>
        <v>0.44977217096195488</v>
      </c>
      <c r="N30" s="73">
        <f t="shared" si="2"/>
        <v>353.75339289142516</v>
      </c>
      <c r="O30" s="73">
        <f t="shared" si="3"/>
        <v>0.1348314606741573</v>
      </c>
      <c r="P30" s="73">
        <f t="shared" si="4"/>
        <v>353.61856143075101</v>
      </c>
      <c r="Q30" s="75">
        <f>'[1]Mass Min'!M27</f>
        <v>353.61856143075101</v>
      </c>
      <c r="R30" s="73">
        <f>'[1]Mass Max'!M27</f>
        <v>353.61856143075101</v>
      </c>
      <c r="S30" s="73">
        <f t="shared" si="5"/>
        <v>3250198.8541224487</v>
      </c>
      <c r="T30" s="73">
        <f t="shared" si="6"/>
        <v>2.1537143769284834</v>
      </c>
      <c r="U30" s="73">
        <f t="shared" si="7"/>
        <v>2.2500816678766682E-2</v>
      </c>
      <c r="V30" s="73">
        <f t="shared" si="17"/>
        <v>1317.3742848539596</v>
      </c>
      <c r="W30" s="73">
        <f t="shared" si="8"/>
        <v>2.5314337560573244E-4</v>
      </c>
      <c r="X30" s="76">
        <f t="shared" si="18"/>
        <v>6.511909932857689</v>
      </c>
      <c r="Y30" s="73" t="s">
        <v>51</v>
      </c>
      <c r="Z30" s="77" t="str">
        <f t="shared" si="9"/>
        <v>Fully visible</v>
      </c>
      <c r="AA30" s="77" t="str">
        <f t="shared" si="10"/>
        <v>Fully visible</v>
      </c>
      <c r="AB30" s="73" t="str">
        <f t="shared" si="11"/>
        <v>Fully visible</v>
      </c>
      <c r="AC30" s="78">
        <f t="shared" si="12"/>
        <v>2.1455999999999999E+47</v>
      </c>
      <c r="AD30" s="78">
        <f t="shared" si="13"/>
        <v>5.4288552489837669E+43</v>
      </c>
    </row>
    <row r="31" spans="1:30" x14ac:dyDescent="0.35">
      <c r="A31" s="90" t="s">
        <v>59</v>
      </c>
      <c r="B31" s="75"/>
      <c r="C31" s="75"/>
      <c r="D31" s="75">
        <v>3.0000000000000001E-6</v>
      </c>
      <c r="E31" s="73">
        <v>3.0000000000000001E-6</v>
      </c>
      <c r="F31" s="73">
        <v>6371</v>
      </c>
      <c r="G31" s="74">
        <f t="shared" si="19"/>
        <v>4.7088369172814318E-10</v>
      </c>
      <c r="H31" s="75">
        <f t="shared" si="14"/>
        <v>6.9502432899073936E-10</v>
      </c>
      <c r="I31" s="75">
        <f t="shared" si="15"/>
        <v>1.9086564145774215E+26</v>
      </c>
      <c r="J31" s="73">
        <v>1</v>
      </c>
      <c r="K31" s="75">
        <f t="shared" si="16"/>
        <v>2123666666.6666665</v>
      </c>
      <c r="L31" s="73">
        <f t="shared" si="0"/>
        <v>0.99999999860932065</v>
      </c>
      <c r="M31" s="75">
        <f t="shared" si="1"/>
        <v>0.99999999860932065</v>
      </c>
      <c r="N31" s="73">
        <f t="shared" si="2"/>
        <v>715.84269563370583</v>
      </c>
      <c r="O31" s="73">
        <f t="shared" si="3"/>
        <v>3.3707865168539325E-7</v>
      </c>
      <c r="P31" s="73">
        <f t="shared" si="4"/>
        <v>715.8426952966272</v>
      </c>
      <c r="Q31" s="75">
        <f>'[1]Mass Min'!M28</f>
        <v>715.8426952966272</v>
      </c>
      <c r="R31" s="73">
        <f>'[1]Mass Max'!M28</f>
        <v>715.8426952966272</v>
      </c>
      <c r="S31" s="73">
        <f t="shared" si="5"/>
        <v>9.8091372532710999</v>
      </c>
      <c r="T31" s="73">
        <f t="shared" si="6"/>
        <v>649496.46798707324</v>
      </c>
      <c r="U31" s="73">
        <f t="shared" si="7"/>
        <v>3.729181346024573E-5</v>
      </c>
      <c r="V31" s="73">
        <f t="shared" si="17"/>
        <v>479599518.21740437</v>
      </c>
      <c r="W31" s="73">
        <f t="shared" si="8"/>
        <v>6.9533967557688238E-10</v>
      </c>
      <c r="X31" s="76">
        <f t="shared" si="18"/>
        <v>0.9916308113941571</v>
      </c>
      <c r="Y31" s="73" t="s">
        <v>51</v>
      </c>
      <c r="Z31" s="77" t="str">
        <f t="shared" si="9"/>
        <v>Fully visible</v>
      </c>
      <c r="AA31" s="77" t="str">
        <f t="shared" si="10"/>
        <v>Fully visible</v>
      </c>
      <c r="AB31" s="73" t="str">
        <f t="shared" si="11"/>
        <v>Fully visible</v>
      </c>
      <c r="AC31" s="78">
        <f t="shared" si="12"/>
        <v>5.3639999999999998E+41</v>
      </c>
      <c r="AD31" s="78">
        <f t="shared" si="13"/>
        <v>3.7280241271863104E+32</v>
      </c>
    </row>
    <row r="32" spans="1:30" x14ac:dyDescent="0.35">
      <c r="A32" s="90" t="s">
        <v>60</v>
      </c>
      <c r="B32" s="75"/>
      <c r="C32" s="75"/>
      <c r="D32" s="75">
        <v>0.33</v>
      </c>
      <c r="E32" s="73">
        <v>0.33</v>
      </c>
      <c r="F32" s="73">
        <v>45000</v>
      </c>
      <c r="G32" s="74">
        <f t="shared" si="19"/>
        <v>7.333333333333334E-6</v>
      </c>
      <c r="H32" s="75">
        <f t="shared" si="14"/>
        <v>1.0824E-5</v>
      </c>
      <c r="I32" s="75">
        <f t="shared" si="15"/>
        <v>1.225575243732024E+22</v>
      </c>
      <c r="J32" s="73">
        <v>0.8</v>
      </c>
      <c r="K32" s="75">
        <f t="shared" si="16"/>
        <v>109090.90909090909</v>
      </c>
      <c r="L32" s="73">
        <f t="shared" si="0"/>
        <v>0.99997834217786485</v>
      </c>
      <c r="M32" s="75">
        <f t="shared" si="1"/>
        <v>0.79998267374229193</v>
      </c>
      <c r="N32" s="73">
        <f t="shared" si="2"/>
        <v>4044.8562155509144</v>
      </c>
      <c r="O32" s="73">
        <f t="shared" si="3"/>
        <v>3.707865168539326E-2</v>
      </c>
      <c r="P32" s="73">
        <f t="shared" si="4"/>
        <v>4044.8191368992289</v>
      </c>
      <c r="Q32" s="75">
        <f>'[1]Mass Min'!M29</f>
        <v>4044.8191368992289</v>
      </c>
      <c r="R32" s="73">
        <f>'[1]Mass Max'!M29</f>
        <v>4044.8191368992289</v>
      </c>
      <c r="S32" s="73">
        <f t="shared" si="5"/>
        <v>21627.866449037036</v>
      </c>
      <c r="T32" s="73">
        <f t="shared" si="6"/>
        <v>2080.6490601389669</v>
      </c>
      <c r="U32" s="73">
        <f t="shared" si="7"/>
        <v>4.6537965291960403E-3</v>
      </c>
      <c r="V32" s="73">
        <f t="shared" si="17"/>
        <v>30795.762503079575</v>
      </c>
      <c r="W32" s="73">
        <f t="shared" si="8"/>
        <v>1.0828911067578554E-5</v>
      </c>
      <c r="X32" s="76">
        <f t="shared" si="18"/>
        <v>4.3350136791657778</v>
      </c>
      <c r="Y32" s="73" t="s">
        <v>51</v>
      </c>
      <c r="Z32" s="77" t="str">
        <f t="shared" si="9"/>
        <v>Fully visible</v>
      </c>
      <c r="AA32" s="77" t="str">
        <f t="shared" si="10"/>
        <v>Fully visible</v>
      </c>
      <c r="AB32" s="73" t="str">
        <f t="shared" si="11"/>
        <v>Fully visible</v>
      </c>
      <c r="AC32" s="78">
        <f t="shared" si="12"/>
        <v>5.9004000000000004E+46</v>
      </c>
      <c r="AD32" s="78">
        <f t="shared" si="13"/>
        <v>6.3864449942906259E+41</v>
      </c>
    </row>
    <row r="33" spans="1:30" x14ac:dyDescent="0.35">
      <c r="A33" s="90" t="s">
        <v>61</v>
      </c>
      <c r="B33" s="75"/>
      <c r="C33" s="75"/>
      <c r="D33" s="75">
        <v>9.5E-4</v>
      </c>
      <c r="E33" s="73">
        <v>9.5E-4</v>
      </c>
      <c r="F33" s="73">
        <v>69911</v>
      </c>
      <c r="G33" s="74">
        <f t="shared" si="19"/>
        <v>1.3588705640028036E-8</v>
      </c>
      <c r="H33" s="75">
        <f t="shared" si="14"/>
        <v>2.005692952468138E-8</v>
      </c>
      <c r="I33" s="75">
        <f t="shared" si="15"/>
        <v>6.6139866632283846E+24</v>
      </c>
      <c r="J33" s="73">
        <v>0.7</v>
      </c>
      <c r="K33" s="75">
        <f t="shared" si="16"/>
        <v>51513368.421052627</v>
      </c>
      <c r="L33" s="73">
        <f t="shared" si="0"/>
        <v>0.99999995986794044</v>
      </c>
      <c r="M33" s="75">
        <f t="shared" si="1"/>
        <v>0.69999997190755825</v>
      </c>
      <c r="N33" s="73">
        <f t="shared" si="2"/>
        <v>5498.6177568572248</v>
      </c>
      <c r="O33" s="73">
        <f t="shared" si="3"/>
        <v>1.0674157303370786E-4</v>
      </c>
      <c r="P33" s="73">
        <f t="shared" si="4"/>
        <v>5498.6176501156515</v>
      </c>
      <c r="Q33" s="75">
        <f>'[1]Mass Min'!M30</f>
        <v>5498.6176501156515</v>
      </c>
      <c r="R33" s="73">
        <f>'[1]Mass Max'!M30</f>
        <v>5498.6176501156515</v>
      </c>
      <c r="S33" s="73">
        <f t="shared" si="5"/>
        <v>25.796295522296116</v>
      </c>
      <c r="T33" s="73">
        <f t="shared" si="6"/>
        <v>2710117.8128299429</v>
      </c>
      <c r="U33" s="73">
        <f t="shared" si="7"/>
        <v>2.0032987674835001E-4</v>
      </c>
      <c r="V33" s="73">
        <f t="shared" si="17"/>
        <v>16619360.053249657</v>
      </c>
      <c r="W33" s="73">
        <f t="shared" si="8"/>
        <v>2.0066029759004554E-8</v>
      </c>
      <c r="X33" s="76">
        <f t="shared" si="18"/>
        <v>1.4115573435702866</v>
      </c>
      <c r="Y33" s="73" t="s">
        <v>51</v>
      </c>
      <c r="Z33" s="77" t="str">
        <f t="shared" si="9"/>
        <v>Fully visible</v>
      </c>
      <c r="AA33" s="77" t="str">
        <f t="shared" si="10"/>
        <v>Fully visible</v>
      </c>
      <c r="AB33" s="73" t="str">
        <f t="shared" si="11"/>
        <v>Fully visible</v>
      </c>
      <c r="AC33" s="78">
        <f t="shared" si="12"/>
        <v>1.6986E+44</v>
      </c>
      <c r="AD33" s="78">
        <f t="shared" si="13"/>
        <v>3.4067911180976675E+36</v>
      </c>
    </row>
    <row r="34" spans="1:30" x14ac:dyDescent="0.35">
      <c r="A34" s="90" t="s">
        <v>62</v>
      </c>
      <c r="B34" s="75"/>
      <c r="C34" s="75"/>
      <c r="D34" s="75">
        <v>6.9500000000000006E-2</v>
      </c>
      <c r="E34" s="73">
        <v>6.9500000000000006E-2</v>
      </c>
      <c r="F34" s="73">
        <v>70000</v>
      </c>
      <c r="G34" s="74">
        <f t="shared" si="19"/>
        <v>9.9285714285714294E-7</v>
      </c>
      <c r="H34" s="75">
        <f t="shared" si="14"/>
        <v>1.4654571428571429E-6</v>
      </c>
      <c r="I34" s="75">
        <f t="shared" si="15"/>
        <v>9.052210433320464E+22</v>
      </c>
      <c r="J34" s="73">
        <v>0.7</v>
      </c>
      <c r="K34" s="75">
        <f t="shared" si="16"/>
        <v>705035.97122302151</v>
      </c>
      <c r="L34" s="73">
        <f t="shared" si="0"/>
        <v>0.99999706775589925</v>
      </c>
      <c r="M34" s="75">
        <f t="shared" si="1"/>
        <v>0.69999794742912946</v>
      </c>
      <c r="N34" s="73">
        <f t="shared" si="2"/>
        <v>5505.6018337122541</v>
      </c>
      <c r="O34" s="73">
        <f t="shared" si="3"/>
        <v>7.8089887640449438E-3</v>
      </c>
      <c r="P34" s="73">
        <f t="shared" si="4"/>
        <v>5505.5940247234903</v>
      </c>
      <c r="Q34" s="75">
        <f>'[1]Mass Min'!M31</f>
        <v>5505.5940247234903</v>
      </c>
      <c r="R34" s="73">
        <f>'[1]Mass Max'!M31</f>
        <v>5505.5940247234903</v>
      </c>
      <c r="S34" s="73">
        <f t="shared" si="5"/>
        <v>1882.4068363459182</v>
      </c>
      <c r="T34" s="73">
        <f t="shared" si="6"/>
        <v>37186.435285096115</v>
      </c>
      <c r="U34" s="73">
        <f t="shared" si="7"/>
        <v>1.7123796602291211E-3</v>
      </c>
      <c r="V34" s="73">
        <f t="shared" si="17"/>
        <v>227460.30817622325</v>
      </c>
      <c r="W34" s="73">
        <f t="shared" si="8"/>
        <v>1.4661220503832004E-6</v>
      </c>
      <c r="X34" s="76">
        <f t="shared" si="18"/>
        <v>3.2747134914001776</v>
      </c>
      <c r="Y34" s="73" t="s">
        <v>51</v>
      </c>
      <c r="Z34" s="77" t="str">
        <f t="shared" si="9"/>
        <v>Fully visible</v>
      </c>
      <c r="AA34" s="77" t="str">
        <f t="shared" si="10"/>
        <v>Fully visible</v>
      </c>
      <c r="AB34" s="73" t="str">
        <f t="shared" si="11"/>
        <v>Fully visible</v>
      </c>
      <c r="AC34" s="78">
        <f t="shared" si="12"/>
        <v>1.2426600000000001E+46</v>
      </c>
      <c r="AD34" s="78">
        <f t="shared" si="13"/>
        <v>1.8210227823891559E+40</v>
      </c>
    </row>
    <row r="35" spans="1:30" x14ac:dyDescent="0.35">
      <c r="A35" s="90" t="s">
        <v>63</v>
      </c>
      <c r="B35" s="75"/>
      <c r="C35" s="75"/>
      <c r="D35" s="75">
        <v>1</v>
      </c>
      <c r="E35" s="73">
        <v>1</v>
      </c>
      <c r="F35" s="73">
        <v>696340</v>
      </c>
      <c r="G35" s="74">
        <f t="shared" si="19"/>
        <v>1.436080075825028E-6</v>
      </c>
      <c r="H35" s="75">
        <f t="shared" si="14"/>
        <v>2.1196541919177413E-6</v>
      </c>
      <c r="I35" s="75">
        <f t="shared" si="15"/>
        <v>6.2583918116159558E+22</v>
      </c>
      <c r="J35" s="73">
        <v>0.96</v>
      </c>
      <c r="K35" s="75">
        <f t="shared" si="16"/>
        <v>668486.40000000002</v>
      </c>
      <c r="L35" s="73">
        <f t="shared" si="0"/>
        <v>0.99999575876815627</v>
      </c>
      <c r="M35" s="75">
        <f t="shared" si="1"/>
        <v>0.95999592841742998</v>
      </c>
      <c r="N35" s="73">
        <f t="shared" si="2"/>
        <v>75110.51289822394</v>
      </c>
      <c r="O35" s="73">
        <f t="shared" si="3"/>
        <v>0.11235955056179775</v>
      </c>
      <c r="P35" s="73">
        <f t="shared" si="4"/>
        <v>75110.400538673377</v>
      </c>
      <c r="Q35" s="75">
        <f>'[1]Mass Min'!M32</f>
        <v>75110.400538673377</v>
      </c>
      <c r="R35" s="73">
        <f>'[1]Mass Max'!M32</f>
        <v>75110.400538673377</v>
      </c>
      <c r="S35" s="73">
        <f t="shared" si="5"/>
        <v>273.70458998340689</v>
      </c>
      <c r="T35" s="73">
        <f t="shared" si="6"/>
        <v>2544129.7862129933</v>
      </c>
      <c r="U35" s="73">
        <f t="shared" si="7"/>
        <v>2.0594251245761872E-3</v>
      </c>
      <c r="V35" s="73">
        <f t="shared" si="17"/>
        <v>157258.3559168925</v>
      </c>
      <c r="W35" s="73">
        <f t="shared" si="8"/>
        <v>2.1206159218678218E-6</v>
      </c>
      <c r="X35" s="76">
        <f t="shared" si="18"/>
        <v>2.4372820805221114</v>
      </c>
      <c r="Y35" s="73" t="s">
        <v>51</v>
      </c>
      <c r="Z35" s="77" t="str">
        <f t="shared" si="9"/>
        <v>Fully visible</v>
      </c>
      <c r="AA35" s="77" t="str">
        <f t="shared" si="10"/>
        <v>Fully visible</v>
      </c>
      <c r="AB35" s="73" t="str">
        <f t="shared" si="11"/>
        <v>Fully visible</v>
      </c>
      <c r="AC35" s="78">
        <f t="shared" si="12"/>
        <v>1.788E+47</v>
      </c>
      <c r="AD35" s="78">
        <f t="shared" si="13"/>
        <v>3.7898538891129144E+41</v>
      </c>
    </row>
    <row r="36" spans="1:30" x14ac:dyDescent="0.35">
      <c r="A36" s="90" t="s">
        <v>64</v>
      </c>
      <c r="B36" s="75"/>
      <c r="C36" s="75"/>
      <c r="D36" s="75">
        <v>300</v>
      </c>
      <c r="E36" s="73">
        <v>300</v>
      </c>
      <c r="F36" s="73">
        <v>20000000</v>
      </c>
      <c r="G36" s="74">
        <f t="shared" si="19"/>
        <v>1.5E-5</v>
      </c>
      <c r="H36" s="75">
        <f t="shared" si="14"/>
        <v>2.2140000000000001E-5</v>
      </c>
      <c r="I36" s="75">
        <f t="shared" si="15"/>
        <v>5.9917011915787836E+21</v>
      </c>
      <c r="J36" s="73">
        <v>0.7</v>
      </c>
      <c r="K36" s="75">
        <f t="shared" si="16"/>
        <v>46666.666666666664</v>
      </c>
      <c r="L36" s="73">
        <f t="shared" si="0"/>
        <v>0.99995569990926902</v>
      </c>
      <c r="M36" s="75">
        <f t="shared" si="1"/>
        <v>0.69996898993648826</v>
      </c>
      <c r="N36" s="73">
        <f t="shared" si="2"/>
        <v>1572964.0223291873</v>
      </c>
      <c r="O36" s="73">
        <f t="shared" si="3"/>
        <v>33.707865168539321</v>
      </c>
      <c r="P36" s="73">
        <f t="shared" si="4"/>
        <v>1572930.3144640187</v>
      </c>
      <c r="Q36" s="75">
        <f>'[1]Mass Min'!M33</f>
        <v>1572930.3144640187</v>
      </c>
      <c r="R36" s="73">
        <f>'[1]Mass Max'!M33</f>
        <v>1572930.3144640187</v>
      </c>
      <c r="S36" s="73">
        <f t="shared" si="5"/>
        <v>99.537339907499984</v>
      </c>
      <c r="T36" s="73">
        <f t="shared" si="6"/>
        <v>200929621.17117047</v>
      </c>
      <c r="U36" s="73">
        <f t="shared" si="7"/>
        <v>6.6558313328241104E-3</v>
      </c>
      <c r="V36" s="73">
        <f t="shared" si="17"/>
        <v>15055.706112616681</v>
      </c>
      <c r="W36" s="73">
        <f t="shared" si="8"/>
        <v>2.2150045365501587E-5</v>
      </c>
      <c r="X36" s="76">
        <f t="shared" si="18"/>
        <v>1.9979860302302774</v>
      </c>
      <c r="Y36" s="73" t="s">
        <v>51</v>
      </c>
      <c r="Z36" s="77" t="str">
        <f t="shared" si="9"/>
        <v>Fully visible</v>
      </c>
      <c r="AA36" s="77" t="str">
        <f t="shared" si="10"/>
        <v>Fully visible</v>
      </c>
      <c r="AB36" s="73" t="str">
        <f t="shared" si="11"/>
        <v>Fully visible</v>
      </c>
      <c r="AC36" s="78">
        <f t="shared" si="12"/>
        <v>5.3640000000000005E+49</v>
      </c>
      <c r="AD36" s="78">
        <f t="shared" si="13"/>
        <v>1.1875620857151991E+45</v>
      </c>
    </row>
    <row r="37" spans="1:30" x14ac:dyDescent="0.35">
      <c r="A37" s="90" t="s">
        <v>65</v>
      </c>
      <c r="B37" s="75"/>
      <c r="C37" s="75"/>
      <c r="D37" s="75">
        <v>17</v>
      </c>
      <c r="E37" s="73">
        <v>17</v>
      </c>
      <c r="F37" s="73">
        <v>600000000</v>
      </c>
      <c r="G37" s="74">
        <f t="shared" si="19"/>
        <v>2.8333333333333332E-8</v>
      </c>
      <c r="H37" s="75">
        <f t="shared" si="14"/>
        <v>4.182E-8</v>
      </c>
      <c r="I37" s="75">
        <f t="shared" si="15"/>
        <v>3.1720771014240622E+24</v>
      </c>
      <c r="J37" s="73">
        <v>0.7</v>
      </c>
      <c r="K37" s="75">
        <f t="shared" si="16"/>
        <v>24705882.352941174</v>
      </c>
      <c r="L37" s="73">
        <f t="shared" si="0"/>
        <v>0.99999991632205087</v>
      </c>
      <c r="M37" s="75">
        <f t="shared" si="1"/>
        <v>0.69999994142543553</v>
      </c>
      <c r="N37" s="73">
        <f t="shared" si="2"/>
        <v>47191007.287108012</v>
      </c>
      <c r="O37" s="73">
        <f t="shared" si="3"/>
        <v>1.9101123595505618</v>
      </c>
      <c r="P37" s="73">
        <f t="shared" si="4"/>
        <v>47191005.376995653</v>
      </c>
      <c r="Q37" s="75">
        <f>'[1]Mass Min'!M34</f>
        <v>47191005.376995653</v>
      </c>
      <c r="R37" s="73">
        <f>'[1]Mass Max'!M34</f>
        <v>47191005.376995653</v>
      </c>
      <c r="S37" s="73">
        <f t="shared" si="5"/>
        <v>6.2671658460277772E-3</v>
      </c>
      <c r="T37" s="73">
        <f t="shared" si="6"/>
        <v>95737054793322.391</v>
      </c>
      <c r="U37" s="73">
        <f t="shared" si="7"/>
        <v>2.8927141089046728E-4</v>
      </c>
      <c r="V37" s="73">
        <f t="shared" si="17"/>
        <v>7970667.9419735381</v>
      </c>
      <c r="W37" s="73">
        <f t="shared" si="8"/>
        <v>4.183897457928077E-8</v>
      </c>
      <c r="X37" s="76">
        <f t="shared" si="18"/>
        <v>-2.2029288125504358</v>
      </c>
      <c r="Y37" s="73" t="s">
        <v>51</v>
      </c>
      <c r="Z37" s="77" t="str">
        <f t="shared" si="9"/>
        <v>Fully visible</v>
      </c>
      <c r="AA37" s="77" t="str">
        <f t="shared" si="10"/>
        <v>Fully visible</v>
      </c>
      <c r="AB37" s="73" t="str">
        <f t="shared" si="11"/>
        <v>Fully visible</v>
      </c>
      <c r="AC37" s="78">
        <f t="shared" si="12"/>
        <v>3.0396000000000002E+48</v>
      </c>
      <c r="AD37" s="78">
        <f t="shared" si="13"/>
        <v>1.2711312695247871E+41</v>
      </c>
    </row>
    <row r="38" spans="1:30" x14ac:dyDescent="0.35">
      <c r="A38" s="91" t="s">
        <v>66</v>
      </c>
      <c r="B38" s="92"/>
      <c r="C38" s="92"/>
      <c r="D38" s="92">
        <v>20</v>
      </c>
      <c r="E38" s="73">
        <v>20</v>
      </c>
      <c r="F38" s="73">
        <v>1000000000</v>
      </c>
      <c r="G38" s="74">
        <f t="shared" si="19"/>
        <v>2E-8</v>
      </c>
      <c r="H38" s="75">
        <f t="shared" si="14"/>
        <v>2.9519999999999999E-8</v>
      </c>
      <c r="I38" s="75">
        <f t="shared" si="15"/>
        <v>4.4937758936840878E+24</v>
      </c>
      <c r="J38" s="93">
        <v>0.7</v>
      </c>
      <c r="K38" s="92">
        <f t="shared" si="16"/>
        <v>35000000</v>
      </c>
      <c r="L38" s="73">
        <f t="shared" si="0"/>
        <v>0.99999994093321232</v>
      </c>
      <c r="M38" s="75">
        <f t="shared" si="1"/>
        <v>0.6999999586532486</v>
      </c>
      <c r="N38" s="73">
        <f t="shared" si="2"/>
        <v>78651680.747556016</v>
      </c>
      <c r="O38" s="93">
        <f t="shared" si="3"/>
        <v>2.2471910112359548</v>
      </c>
      <c r="P38" s="93">
        <f t="shared" si="4"/>
        <v>78651678.500365004</v>
      </c>
      <c r="Q38" s="75">
        <f>'[1]Mass Min'!M35</f>
        <v>78651678.500365004</v>
      </c>
      <c r="R38" s="73">
        <f>'[1]Mass Max'!M35</f>
        <v>78651678.500365004</v>
      </c>
      <c r="S38" s="73">
        <f t="shared" si="5"/>
        <v>2.6543290641999999E-3</v>
      </c>
      <c r="T38" s="73">
        <f t="shared" si="6"/>
        <v>376743039695944.56</v>
      </c>
      <c r="U38" s="73">
        <f t="shared" si="7"/>
        <v>2.4303659732916266E-4</v>
      </c>
      <c r="V38" s="73">
        <f t="shared" si="17"/>
        <v>11291779.58446251</v>
      </c>
      <c r="W38" s="73">
        <f t="shared" si="8"/>
        <v>2.9533393820668782E-8</v>
      </c>
      <c r="X38" s="76">
        <f t="shared" si="18"/>
        <v>-2.5760452374974414</v>
      </c>
      <c r="Y38" s="73" t="s">
        <v>51</v>
      </c>
      <c r="Z38" s="77" t="str">
        <f t="shared" si="9"/>
        <v>Fully visible</v>
      </c>
      <c r="AA38" s="77" t="str">
        <f t="shared" si="10"/>
        <v>Fully visible</v>
      </c>
      <c r="AB38" s="73" t="str">
        <f t="shared" si="11"/>
        <v>Fully visible</v>
      </c>
      <c r="AC38" s="78">
        <f t="shared" si="12"/>
        <v>3.5759999999999998E+48</v>
      </c>
      <c r="AD38" s="78">
        <f t="shared" si="13"/>
        <v>1.0556107428579549E+41</v>
      </c>
    </row>
    <row r="39" spans="1:30" ht="15" thickBot="1" x14ac:dyDescent="0.4">
      <c r="A39" s="94" t="s">
        <v>67</v>
      </c>
      <c r="B39" s="95"/>
      <c r="C39" s="95"/>
      <c r="D39" s="95">
        <v>25</v>
      </c>
      <c r="E39" s="82">
        <v>25</v>
      </c>
      <c r="F39" s="82">
        <v>1900000000</v>
      </c>
      <c r="G39" s="83">
        <f t="shared" si="19"/>
        <v>1.3157894736842106E-8</v>
      </c>
      <c r="H39" s="84">
        <f t="shared" si="14"/>
        <v>1.9421052631578949E-8</v>
      </c>
      <c r="I39" s="84">
        <f t="shared" si="15"/>
        <v>6.8305393583998134E+24</v>
      </c>
      <c r="J39" s="96">
        <v>0.7</v>
      </c>
      <c r="K39" s="95">
        <f t="shared" si="16"/>
        <v>53199999.999999993</v>
      </c>
      <c r="L39" s="82">
        <f t="shared" si="0"/>
        <v>0.99999996114027134</v>
      </c>
      <c r="M39" s="84">
        <f t="shared" si="1"/>
        <v>0.69999997279818993</v>
      </c>
      <c r="N39" s="82">
        <f t="shared" si="2"/>
        <v>149438196.44006303</v>
      </c>
      <c r="O39" s="96">
        <f t="shared" si="3"/>
        <v>2.8089887640449436</v>
      </c>
      <c r="P39" s="96">
        <f t="shared" si="4"/>
        <v>149438193.63107428</v>
      </c>
      <c r="Q39" s="84">
        <f>'[1]Mass Min'!M36</f>
        <v>149438193.63107428</v>
      </c>
      <c r="R39" s="82">
        <f>'[1]Mass Max'!M36</f>
        <v>149438193.63107428</v>
      </c>
      <c r="S39" s="82">
        <f t="shared" si="5"/>
        <v>9.1908901114958418E-4</v>
      </c>
      <c r="T39" s="82">
        <f t="shared" si="6"/>
        <v>2067264407419587.7</v>
      </c>
      <c r="U39" s="82">
        <f t="shared" si="7"/>
        <v>1.9712871102760827E-4</v>
      </c>
      <c r="V39" s="82">
        <f t="shared" si="17"/>
        <v>17163504.968383018</v>
      </c>
      <c r="W39" s="82">
        <f t="shared" si="8"/>
        <v>1.9429864355703144E-8</v>
      </c>
      <c r="X39" s="85">
        <f t="shared" si="18"/>
        <v>-3.0366424263950429</v>
      </c>
      <c r="Y39" s="82" t="s">
        <v>51</v>
      </c>
      <c r="Z39" s="86" t="str">
        <f t="shared" si="9"/>
        <v>Fully visible</v>
      </c>
      <c r="AA39" s="86" t="str">
        <f t="shared" si="10"/>
        <v>Fully visible</v>
      </c>
      <c r="AB39" s="82" t="str">
        <f t="shared" si="11"/>
        <v>Fully visible</v>
      </c>
      <c r="AC39" s="87">
        <f t="shared" si="12"/>
        <v>4.4699999999999997E+48</v>
      </c>
      <c r="AD39" s="87">
        <f t="shared" si="13"/>
        <v>8.6810093985029146E+40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7"/>
  <sheetViews>
    <sheetView tabSelected="1" topLeftCell="A49" workbookViewId="0">
      <selection activeCell="AF66" sqref="AF66"/>
    </sheetView>
  </sheetViews>
  <sheetFormatPr defaultRowHeight="14.5" x14ac:dyDescent="0.35"/>
  <cols>
    <col min="1" max="1" width="53.7265625" customWidth="1"/>
    <col min="2" max="2" width="14.453125" hidden="1" customWidth="1"/>
    <col min="3" max="3" width="14.81640625" hidden="1" customWidth="1"/>
    <col min="4" max="4" width="15.453125" hidden="1" customWidth="1"/>
    <col min="5" max="5" width="15.7265625" bestFit="1" customWidth="1"/>
    <col min="6" max="6" width="11.81640625" bestFit="1" customWidth="1"/>
    <col min="7" max="7" width="11.81640625" hidden="1" customWidth="1"/>
    <col min="8" max="8" width="14.453125" hidden="1" customWidth="1"/>
    <col min="9" max="9" width="33.453125" hidden="1" customWidth="1"/>
    <col min="10" max="10" width="22.6328125" bestFit="1" customWidth="1"/>
    <col min="11" max="11" width="13.1796875" hidden="1" customWidth="1"/>
    <col min="12" max="12" width="12.453125" bestFit="1" customWidth="1"/>
    <col min="13" max="13" width="19" bestFit="1" customWidth="1"/>
    <col min="14" max="14" width="11.81640625" bestFit="1" customWidth="1"/>
    <col min="15" max="15" width="26.90625" bestFit="1" customWidth="1"/>
    <col min="16" max="16" width="16.26953125" bestFit="1" customWidth="1"/>
    <col min="17" max="17" width="16.26953125" hidden="1" customWidth="1"/>
    <col min="18" max="18" width="16.7265625" hidden="1" customWidth="1"/>
    <col min="19" max="19" width="20.26953125" hidden="1" customWidth="1"/>
    <col min="20" max="20" width="11.81640625" hidden="1" customWidth="1"/>
    <col min="21" max="21" width="0" hidden="1" customWidth="1"/>
    <col min="22" max="22" width="12.54296875" hidden="1" customWidth="1"/>
    <col min="23" max="23" width="16.1796875" hidden="1" customWidth="1"/>
    <col min="24" max="24" width="12.453125" hidden="1" customWidth="1"/>
    <col min="25" max="25" width="14.7265625" hidden="1" customWidth="1"/>
    <col min="26" max="26" width="18" hidden="1" customWidth="1"/>
    <col min="27" max="27" width="20.1796875" hidden="1" customWidth="1"/>
    <col min="28" max="28" width="21.453125" bestFit="1" customWidth="1"/>
    <col min="29" max="29" width="8.36328125" hidden="1" customWidth="1"/>
    <col min="30" max="30" width="12.7265625" hidden="1" customWidth="1"/>
  </cols>
  <sheetData>
    <row r="1" spans="1:30" ht="15" thickBot="1" x14ac:dyDescent="0.4">
      <c r="A1" s="54" t="s">
        <v>0</v>
      </c>
      <c r="B1" s="55" t="s">
        <v>1</v>
      </c>
      <c r="C1" s="55" t="s">
        <v>2</v>
      </c>
      <c r="D1" s="55" t="s">
        <v>3</v>
      </c>
      <c r="E1" s="56" t="s">
        <v>4</v>
      </c>
      <c r="F1" s="57" t="s">
        <v>5</v>
      </c>
      <c r="G1" s="57" t="s">
        <v>6</v>
      </c>
      <c r="H1" s="55" t="s">
        <v>7</v>
      </c>
      <c r="I1" s="55" t="s">
        <v>8</v>
      </c>
      <c r="J1" s="56" t="s">
        <v>70</v>
      </c>
      <c r="K1" s="55" t="s">
        <v>9</v>
      </c>
      <c r="L1" s="56" t="s">
        <v>69</v>
      </c>
      <c r="M1" s="57" t="s">
        <v>10</v>
      </c>
      <c r="N1" s="57" t="s">
        <v>11</v>
      </c>
      <c r="O1" s="57" t="s">
        <v>12</v>
      </c>
      <c r="P1" s="57" t="s">
        <v>13</v>
      </c>
      <c r="Q1" s="55" t="s">
        <v>14</v>
      </c>
      <c r="R1" s="56" t="s">
        <v>15</v>
      </c>
      <c r="S1" s="55" t="s">
        <v>16</v>
      </c>
      <c r="T1" s="56" t="s">
        <v>17</v>
      </c>
      <c r="U1" s="55" t="s">
        <v>18</v>
      </c>
      <c r="V1" s="56" t="s">
        <v>19</v>
      </c>
      <c r="W1" s="57" t="s">
        <v>20</v>
      </c>
      <c r="X1" s="58" t="s">
        <v>21</v>
      </c>
      <c r="Y1" s="56" t="s">
        <v>68</v>
      </c>
      <c r="Z1" s="56" t="s">
        <v>23</v>
      </c>
      <c r="AA1" s="56" t="s">
        <v>24</v>
      </c>
      <c r="AB1" s="57" t="s">
        <v>22</v>
      </c>
      <c r="AC1" s="59" t="s">
        <v>25</v>
      </c>
      <c r="AD1" s="60" t="s">
        <v>26</v>
      </c>
    </row>
    <row r="2" spans="1:30" x14ac:dyDescent="0.35">
      <c r="A2" s="107" t="s">
        <v>27</v>
      </c>
      <c r="B2" s="97">
        <f>D2</f>
        <v>66000000000</v>
      </c>
      <c r="C2" s="97">
        <f>D2</f>
        <v>66000000000</v>
      </c>
      <c r="D2" s="142">
        <v>66000000000</v>
      </c>
      <c r="E2" s="98">
        <v>66000000000</v>
      </c>
      <c r="F2" s="143">
        <v>190000000000</v>
      </c>
      <c r="G2" s="100">
        <f t="shared" ref="G2:G33" si="0">E2/F2</f>
        <v>0.3473684210526316</v>
      </c>
      <c r="H2" s="100">
        <f t="shared" ref="H2:H33" si="1">G2*1.476</f>
        <v>0.51271578947368424</v>
      </c>
      <c r="I2" s="101">
        <f t="shared" ref="I2:I33" si="2">(-299792458^2 + SQRT(299792458^4 + 4*G2*S2*299792458^2)) / (2*G2)</f>
        <v>2.5873255145453866E+17</v>
      </c>
      <c r="J2" s="102">
        <v>0</v>
      </c>
      <c r="K2" s="103">
        <f t="shared" ref="K2:K33" si="3">J2/G2</f>
        <v>0</v>
      </c>
      <c r="L2" s="102">
        <f t="shared" ref="L2:L33" si="4">IF(F2&gt;0, 1 - (2*0.000000000066743 * E2 * 1.98847E+30) / (F2 * 1000 * 299792458^2),0)</f>
        <v>-2.5896837981126186E-2</v>
      </c>
      <c r="M2" s="162">
        <f t="shared" ref="M2:M33" si="5">J2*L2</f>
        <v>0</v>
      </c>
      <c r="N2" s="162">
        <f t="shared" ref="N2:N33" si="6">M2*F2/8.9</f>
        <v>0</v>
      </c>
      <c r="O2" s="163">
        <f t="shared" ref="O2:O33" si="7">E2/8.9</f>
        <v>7415730337.0786514</v>
      </c>
      <c r="P2" s="163">
        <f t="shared" ref="P2:P33" si="8">N2-O2</f>
        <v>-7415730337.0786514</v>
      </c>
      <c r="Q2" s="100" t="str">
        <f>'[1]Mass Min'!M1</f>
        <v>G4D = Pr − Co</v>
      </c>
      <c r="R2" s="100" t="str">
        <f>'[1]Mass Max'!M1</f>
        <v>G4D = Pr − Co</v>
      </c>
      <c r="S2" s="100">
        <f>0.000000000066743*(E2*1.98847E+30)/((F2*1000)^2)</f>
        <v>242.63949894349031</v>
      </c>
      <c r="T2" s="100">
        <f>(F2*1000)/S2</f>
        <v>783054699780.14661</v>
      </c>
      <c r="U2" s="100">
        <f t="shared" ref="U2:U33" si="9">SQRT(2*0.000000000066743*(E2*1.98847E+30)/(F2*1000))/299792458</f>
        <v>1.0128656564328393</v>
      </c>
      <c r="V2" s="105">
        <f t="shared" ref="V2:V33" si="10">F2/(3*1.476*E2)</f>
        <v>0.65013276395390218</v>
      </c>
      <c r="W2" s="100">
        <f t="shared" ref="W2:W33" si="11">(0.000000000066743*(E2*1.98847E+30))/(F2*1000*299792458^2)</f>
        <v>0.5129484189905632</v>
      </c>
      <c r="X2" s="100">
        <f>LOG10(S2)</f>
        <v>2.3849615004747884</v>
      </c>
      <c r="Y2" s="104" t="s">
        <v>28</v>
      </c>
      <c r="Z2" s="104" t="str">
        <f>IF(W2&lt;0.25,"Fully visible",
IF(W2&lt;0.3,"Partial visible",
IF(W2&lt;0.32,"Collapse boundary",
"Invisible (Black hole)")))</f>
        <v>Invisible (Black hole)</v>
      </c>
      <c r="AA2" s="104" t="str">
        <f t="shared" ref="AA2:AA33" si="12">IF(V2&gt;2,"Fully visible",
IF(V2&gt;1,"Partial visible",
IF(ABS(V2-1)&lt;=0.05,"Collapse boundary",
IF(V2&gt;0.7,"Collapse transition",
"Invisible (Black hole)"))))</f>
        <v>Invisible (Black hole)</v>
      </c>
      <c r="AB2" s="163" t="str">
        <f>IF(U2&gt;=1,
   IF(E2&gt;=100000,"Supermassive Black hole",
   IF(E2&gt;=100,"Intermediate Black hole",
   "Stellar Black hole")),
IF(P2&gt;0,"Fully visible",
IF(P2&gt;-0.26,"Partial visible",
IF(ABS(P2+0.3)&lt;=0.02,"Collapse boundary",
IF(P2&gt;-0.32,"Collapse transition",
"Invisible (geometric)")))))</f>
        <v>Supermassive Black hole</v>
      </c>
      <c r="AC2" s="106">
        <f>E2*1.788E+47</f>
        <v>1.18008E+58</v>
      </c>
      <c r="AD2" s="106">
        <f>0.000000000066743*(E2*1.98847E+30)^2/(F2*1000)</f>
        <v>6.0503163103805941E+57</v>
      </c>
    </row>
    <row r="3" spans="1:30" x14ac:dyDescent="0.35">
      <c r="A3" s="107" t="s">
        <v>29</v>
      </c>
      <c r="B3" s="108">
        <v>4070000</v>
      </c>
      <c r="C3" s="108">
        <v>4130000</v>
      </c>
      <c r="D3" s="109">
        <v>4100000</v>
      </c>
      <c r="E3" s="105">
        <v>4100000</v>
      </c>
      <c r="F3" s="143">
        <v>12000000</v>
      </c>
      <c r="G3" s="100">
        <f t="shared" si="0"/>
        <v>0.34166666666666667</v>
      </c>
      <c r="H3" s="100">
        <f t="shared" si="1"/>
        <v>0.50429999999999997</v>
      </c>
      <c r="I3" s="101">
        <f t="shared" si="2"/>
        <v>2.6305029621943267E+17</v>
      </c>
      <c r="J3" s="102">
        <v>0</v>
      </c>
      <c r="K3" s="103">
        <f t="shared" si="3"/>
        <v>0</v>
      </c>
      <c r="L3" s="102">
        <f t="shared" si="4"/>
        <v>-9.0576222061833356E-3</v>
      </c>
      <c r="M3" s="162">
        <f t="shared" si="5"/>
        <v>0</v>
      </c>
      <c r="N3" s="162">
        <f t="shared" si="6"/>
        <v>0</v>
      </c>
      <c r="O3" s="163">
        <f t="shared" si="7"/>
        <v>460674.15730337077</v>
      </c>
      <c r="P3" s="163">
        <f t="shared" si="8"/>
        <v>-460674.15730337077</v>
      </c>
      <c r="Q3" s="100">
        <f>'[1]Mass Min'!M3</f>
        <v>-457303.37078651681</v>
      </c>
      <c r="R3" s="100">
        <f>'[1]Mass Max'!M3</f>
        <v>-464044.94382022473</v>
      </c>
      <c r="S3" s="100">
        <f>0.000000000066743*(E3*1.98847E+30)/((F3*1000)^2)</f>
        <v>3778732.3483402776</v>
      </c>
      <c r="T3" s="100">
        <f>(F3*1000)/S3</f>
        <v>3175.6681589980108</v>
      </c>
      <c r="U3" s="100">
        <f t="shared" si="9"/>
        <v>1.00451860222008</v>
      </c>
      <c r="V3" s="105">
        <f t="shared" si="10"/>
        <v>0.6609822195782934</v>
      </c>
      <c r="W3" s="100">
        <f t="shared" si="11"/>
        <v>0.50452881110309167</v>
      </c>
      <c r="X3" s="100">
        <f>LOG10(S3)</f>
        <v>6.577346131463063</v>
      </c>
      <c r="Y3" s="104" t="s">
        <v>28</v>
      </c>
      <c r="Z3" s="104" t="str">
        <f>IF(W3&lt;0.25,"Fully visible",
IF(W3&lt;0.3,"Partial visible",
IF(W3&lt;0.32,"Collapse boundary",
"Invisible (Black hole)")))</f>
        <v>Invisible (Black hole)</v>
      </c>
      <c r="AA3" s="104" t="str">
        <f t="shared" si="12"/>
        <v>Invisible (Black hole)</v>
      </c>
      <c r="AB3" s="163" t="str">
        <f t="shared" ref="AB3:AB66" si="13">IF(U3&gt;=1,
   IF(E3&gt;=100000,"Supermassive Black hole",
   IF(E3&gt;=100,"Intermediate Black hole",
   "Stellar Black hole")),
IF(P3&gt;0,"Fully visible",
IF(P3&gt;-0.26,"Partial visible",
IF(ABS(P3+0.3)&lt;=0.02,"Collapse boundary",
IF(P3&gt;-0.32,"Collapse transition",
"Invisible (geometric)")))))</f>
        <v>Supermassive Black hole</v>
      </c>
      <c r="AC3" s="110">
        <f>E3*1.788E+47</f>
        <v>7.3307999999999998E+53</v>
      </c>
      <c r="AD3" s="110">
        <f>0.000000000066743*(E3*1.98847E+30)^2/(F3*1000)</f>
        <v>3.6968367890504619E+53</v>
      </c>
    </row>
    <row r="4" spans="1:30" x14ac:dyDescent="0.35">
      <c r="A4" s="111" t="s">
        <v>30</v>
      </c>
      <c r="B4" s="112">
        <v>22</v>
      </c>
      <c r="C4" s="112">
        <v>26</v>
      </c>
      <c r="D4" s="103">
        <v>24</v>
      </c>
      <c r="E4" s="102">
        <v>24</v>
      </c>
      <c r="F4" s="143">
        <v>70.8</v>
      </c>
      <c r="G4" s="100">
        <f t="shared" si="0"/>
        <v>0.33898305084745767</v>
      </c>
      <c r="H4" s="100">
        <f t="shared" si="1"/>
        <v>0.50033898305084756</v>
      </c>
      <c r="I4" s="100">
        <f t="shared" si="2"/>
        <v>2.6513341315844006E+17</v>
      </c>
      <c r="J4" s="102">
        <v>0</v>
      </c>
      <c r="K4" s="103">
        <f t="shared" si="3"/>
        <v>0</v>
      </c>
      <c r="L4" s="102">
        <f t="shared" si="4"/>
        <v>-1.1319939209757379E-3</v>
      </c>
      <c r="M4" s="162">
        <f t="shared" si="5"/>
        <v>0</v>
      </c>
      <c r="N4" s="162">
        <f t="shared" si="6"/>
        <v>0</v>
      </c>
      <c r="O4" s="163">
        <f t="shared" si="7"/>
        <v>2.696629213483146</v>
      </c>
      <c r="P4" s="163">
        <f t="shared" si="8"/>
        <v>-2.696629213483146</v>
      </c>
      <c r="Q4" s="100">
        <f>'[1]Mass Min'!M4</f>
        <v>-2.4719101123595504</v>
      </c>
      <c r="R4" s="100">
        <f>'[1]Mass Max'!M4</f>
        <v>-2.9213483146067416</v>
      </c>
      <c r="S4" s="100">
        <f>0.000000000066743*(E4*1.98847E+30)/((F4*1000)^2)</f>
        <v>635432601790.6731</v>
      </c>
      <c r="T4" s="100">
        <f>(F4*1000)/S4</f>
        <v>1.114201565995873E-7</v>
      </c>
      <c r="U4" s="100">
        <f t="shared" si="9"/>
        <v>1.0005658368748034</v>
      </c>
      <c r="V4" s="104">
        <f t="shared" si="10"/>
        <v>0.66621499548328822</v>
      </c>
      <c r="W4" s="100">
        <f t="shared" si="11"/>
        <v>0.50056599696048787</v>
      </c>
      <c r="X4" s="100">
        <f>LOG10(S4)</f>
        <v>11.803069493170645</v>
      </c>
      <c r="Y4" s="104" t="s">
        <v>28</v>
      </c>
      <c r="Z4" s="104" t="str">
        <f>IF(W4&lt;0.25,"Fully visible",
IF(W4&lt;0.3,"Partial visible",
IF(W4&lt;0.32,"Collapse boundary",
"Invisible (Black hole)")))</f>
        <v>Invisible (Black hole)</v>
      </c>
      <c r="AA4" s="104" t="str">
        <f t="shared" si="12"/>
        <v>Invisible (Black hole)</v>
      </c>
      <c r="AB4" s="163" t="str">
        <f t="shared" si="13"/>
        <v>Stellar Black hole</v>
      </c>
      <c r="AC4" s="110">
        <f>E4*1.788E+47</f>
        <v>4.2911999999999999E+48</v>
      </c>
      <c r="AD4" s="110">
        <f>0.000000000066743*(E4*1.98847E+30)^2/(F4*1000)</f>
        <v>2.1470049007280432E+48</v>
      </c>
    </row>
    <row r="5" spans="1:30" x14ac:dyDescent="0.35">
      <c r="A5" s="107" t="s">
        <v>31</v>
      </c>
      <c r="B5" s="112">
        <v>8</v>
      </c>
      <c r="C5" s="112">
        <v>12</v>
      </c>
      <c r="D5" s="100">
        <v>10</v>
      </c>
      <c r="E5" s="104">
        <v>10</v>
      </c>
      <c r="F5" s="143">
        <v>29.5</v>
      </c>
      <c r="G5" s="100">
        <f t="shared" si="0"/>
        <v>0.33898305084745761</v>
      </c>
      <c r="H5" s="100">
        <f t="shared" si="1"/>
        <v>0.50033898305084745</v>
      </c>
      <c r="I5" s="100">
        <f t="shared" si="2"/>
        <v>2.6513430275683363E+17</v>
      </c>
      <c r="J5" s="102">
        <v>0</v>
      </c>
      <c r="K5" s="103">
        <f t="shared" si="3"/>
        <v>0</v>
      </c>
      <c r="L5" s="102">
        <f t="shared" si="4"/>
        <v>-1.1319939209757379E-3</v>
      </c>
      <c r="M5" s="162">
        <f t="shared" si="5"/>
        <v>0</v>
      </c>
      <c r="N5" s="162">
        <f t="shared" si="6"/>
        <v>0</v>
      </c>
      <c r="O5" s="163">
        <f t="shared" si="7"/>
        <v>1.1235955056179774</v>
      </c>
      <c r="P5" s="163">
        <f t="shared" si="8"/>
        <v>-1.1235955056179774</v>
      </c>
      <c r="Q5" s="100">
        <f>'[1]Mass Min'!M5</f>
        <v>-0.898876404494382</v>
      </c>
      <c r="R5" s="100">
        <f>'[1]Mass Max'!M5</f>
        <v>-1.348314606741573</v>
      </c>
      <c r="S5" s="100">
        <f>0.000000000066743*(E5*1.98847E+30)/((F5*1000)^2)</f>
        <v>1525038244297.6155</v>
      </c>
      <c r="T5" s="100">
        <f>(F5*1000)/S5</f>
        <v>1.9343777187428353E-8</v>
      </c>
      <c r="U5" s="100">
        <f t="shared" si="9"/>
        <v>1.0005658368748034</v>
      </c>
      <c r="V5" s="104">
        <f t="shared" si="10"/>
        <v>0.66621499548328811</v>
      </c>
      <c r="W5" s="100">
        <f t="shared" si="11"/>
        <v>0.50056599696048787</v>
      </c>
      <c r="X5" s="100">
        <f>LOG10(S5)</f>
        <v>12.183280734882251</v>
      </c>
      <c r="Y5" s="104" t="s">
        <v>28</v>
      </c>
      <c r="Z5" s="104" t="str">
        <f>IF(W5&lt;0.25,"Fully visible",
IF(W5&lt;0.3,"Partial visible",
IF(W5&lt;0.32,"Collapse boundary",
"Invisible (Black hole)")))</f>
        <v>Invisible (Black hole)</v>
      </c>
      <c r="AA5" s="104" t="str">
        <f t="shared" si="12"/>
        <v>Invisible (Black hole)</v>
      </c>
      <c r="AB5" s="163" t="str">
        <f t="shared" si="13"/>
        <v>Stellar Black hole</v>
      </c>
      <c r="AC5" s="110">
        <f>E5*1.788E+47</f>
        <v>1.7879999999999999E+48</v>
      </c>
      <c r="AD5" s="110">
        <f>0.000000000066743*(E5*1.98847E+30)^2/(F5*1000)</f>
        <v>8.9458537530335159E+47</v>
      </c>
    </row>
    <row r="6" spans="1:30" x14ac:dyDescent="0.35">
      <c r="A6" s="113" t="s">
        <v>32</v>
      </c>
      <c r="B6" s="112">
        <v>5</v>
      </c>
      <c r="C6" s="112">
        <v>8</v>
      </c>
      <c r="D6" s="103">
        <v>6.5</v>
      </c>
      <c r="E6" s="102">
        <v>6.5</v>
      </c>
      <c r="F6" s="143">
        <v>19.2</v>
      </c>
      <c r="G6" s="100">
        <f t="shared" si="0"/>
        <v>0.33854166666666669</v>
      </c>
      <c r="H6" s="100">
        <f t="shared" si="1"/>
        <v>0.49968750000000001</v>
      </c>
      <c r="I6" s="100">
        <f t="shared" si="2"/>
        <v>2.6548079288221171E+17</v>
      </c>
      <c r="J6" s="102">
        <v>0</v>
      </c>
      <c r="K6" s="103">
        <f t="shared" si="3"/>
        <v>0</v>
      </c>
      <c r="L6" s="102">
        <f t="shared" si="4"/>
        <v>1.7156336277557305E-4</v>
      </c>
      <c r="M6" s="162">
        <f t="shared" si="5"/>
        <v>0</v>
      </c>
      <c r="N6" s="162">
        <f t="shared" si="6"/>
        <v>0</v>
      </c>
      <c r="O6" s="163">
        <f t="shared" si="7"/>
        <v>0.7303370786516854</v>
      </c>
      <c r="P6" s="163">
        <f t="shared" si="8"/>
        <v>-0.7303370786516854</v>
      </c>
      <c r="Q6" s="100">
        <f>'[1]Mass Min'!M6</f>
        <v>-0.56179775280898869</v>
      </c>
      <c r="R6" s="100">
        <f>'[1]Mass Max'!M6</f>
        <v>-0.898876404494382</v>
      </c>
      <c r="S6" s="100">
        <f>0.000000000066743*(E6*1.98847E+30)/((F6*1000)^2)</f>
        <v>2340106732489.6919</v>
      </c>
      <c r="T6" s="100">
        <f>(F6*1000)/S6</f>
        <v>8.2047539684536912E-9</v>
      </c>
      <c r="U6" s="100">
        <f t="shared" si="9"/>
        <v>0.99991421463904806</v>
      </c>
      <c r="V6" s="104">
        <f t="shared" si="10"/>
        <v>0.6670835939128622</v>
      </c>
      <c r="W6" s="100">
        <f t="shared" si="11"/>
        <v>0.49991421831861221</v>
      </c>
      <c r="X6" s="100">
        <f>LOG10(S6)</f>
        <v>12.369235666074333</v>
      </c>
      <c r="Y6" s="104" t="s">
        <v>28</v>
      </c>
      <c r="Z6" s="104" t="str">
        <f>IF(W6&lt;0.25,"Fully visible",
IF(W6&lt;0.3,"Partial visible",
IF(W6&lt;0.32,"Collapse boundary",
"Invisible (Black hole)")))</f>
        <v>Invisible (Black hole)</v>
      </c>
      <c r="AA6" s="104" t="str">
        <f t="shared" si="12"/>
        <v>Invisible (Black hole)</v>
      </c>
      <c r="AB6" s="163" t="str">
        <f t="shared" si="13"/>
        <v>Invisible (geometric)</v>
      </c>
      <c r="AC6" s="110">
        <f>E6*1.788E+47</f>
        <v>1.1622000000000001E+48</v>
      </c>
      <c r="AD6" s="110">
        <f>0.000000000066743*(E6*1.98847E+30)^2/(F6*1000)</f>
        <v>5.8072335788735136E+47</v>
      </c>
    </row>
    <row r="7" spans="1:30" x14ac:dyDescent="0.35">
      <c r="A7" s="34" t="s">
        <v>77</v>
      </c>
      <c r="B7" s="125"/>
      <c r="C7" s="125"/>
      <c r="D7" s="125"/>
      <c r="E7" s="99">
        <v>5</v>
      </c>
      <c r="F7" s="143">
        <v>17.100000000000001</v>
      </c>
      <c r="G7" s="202">
        <f t="shared" si="0"/>
        <v>0.29239766081871343</v>
      </c>
      <c r="H7" s="202">
        <f t="shared" si="1"/>
        <v>0.43157894736842101</v>
      </c>
      <c r="I7" s="202">
        <f t="shared" si="2"/>
        <v>3.0737427112799162E+17</v>
      </c>
      <c r="J7" s="99">
        <v>0</v>
      </c>
      <c r="K7" s="202">
        <f t="shared" si="3"/>
        <v>0</v>
      </c>
      <c r="L7" s="203">
        <f t="shared" si="4"/>
        <v>0.13645047307986014</v>
      </c>
      <c r="M7" s="204">
        <f t="shared" si="5"/>
        <v>0</v>
      </c>
      <c r="N7" s="204">
        <f t="shared" si="6"/>
        <v>0</v>
      </c>
      <c r="O7" s="143">
        <f t="shared" si="7"/>
        <v>0.56179775280898869</v>
      </c>
      <c r="P7" s="143">
        <f t="shared" si="8"/>
        <v>-0.56179775280898869</v>
      </c>
      <c r="Q7" s="205"/>
      <c r="R7" s="205"/>
      <c r="S7" s="205"/>
      <c r="T7" s="205"/>
      <c r="U7" s="202">
        <f t="shared" si="9"/>
        <v>0.92927365556123454</v>
      </c>
      <c r="V7" s="203">
        <f t="shared" si="10"/>
        <v>0.77235772357723587</v>
      </c>
      <c r="W7" s="202">
        <f t="shared" si="11"/>
        <v>0.43177476346006993</v>
      </c>
      <c r="X7" s="206"/>
      <c r="Y7" s="203"/>
      <c r="Z7" s="207" t="str">
        <f>IF(W7&lt;0.25,"Fully visible",
IF(W7&lt;0.45,"Partial visible",
IF(W7&lt;0.48,"Collapse transition",
"Invisible (Black hole)")))</f>
        <v>Partial visible</v>
      </c>
      <c r="AA7" s="104" t="str">
        <f t="shared" si="12"/>
        <v>Collapse transition</v>
      </c>
      <c r="AB7" s="143" t="str">
        <f t="shared" si="13"/>
        <v>Invisible (geometric)</v>
      </c>
      <c r="AC7" s="197"/>
      <c r="AD7" s="197"/>
    </row>
    <row r="8" spans="1:30" x14ac:dyDescent="0.35">
      <c r="A8" s="34" t="s">
        <v>77</v>
      </c>
      <c r="B8" s="125"/>
      <c r="C8" s="125"/>
      <c r="D8" s="125"/>
      <c r="E8" s="99">
        <v>5</v>
      </c>
      <c r="F8" s="143">
        <v>17.100000000000001</v>
      </c>
      <c r="G8" s="202">
        <f t="shared" si="0"/>
        <v>0.29239766081871343</v>
      </c>
      <c r="H8" s="202">
        <f t="shared" si="1"/>
        <v>0.43157894736842101</v>
      </c>
      <c r="I8" s="202">
        <f t="shared" si="2"/>
        <v>3.0737427112799162E+17</v>
      </c>
      <c r="J8" s="99">
        <v>0.1</v>
      </c>
      <c r="K8" s="202">
        <f t="shared" si="3"/>
        <v>0.34200000000000003</v>
      </c>
      <c r="L8" s="203">
        <f t="shared" si="4"/>
        <v>0.13645047307986014</v>
      </c>
      <c r="M8" s="204">
        <f t="shared" si="5"/>
        <v>1.3645047307986014E-2</v>
      </c>
      <c r="N8" s="204">
        <f t="shared" si="6"/>
        <v>2.6216888647928184E-2</v>
      </c>
      <c r="O8" s="143">
        <f t="shared" si="7"/>
        <v>0.56179775280898869</v>
      </c>
      <c r="P8" s="143">
        <f t="shared" si="8"/>
        <v>-0.53558086416106054</v>
      </c>
      <c r="Q8" s="205"/>
      <c r="R8" s="205"/>
      <c r="S8" s="205"/>
      <c r="T8" s="205"/>
      <c r="U8" s="202">
        <f t="shared" si="9"/>
        <v>0.92927365556123454</v>
      </c>
      <c r="V8" s="203">
        <f t="shared" si="10"/>
        <v>0.77235772357723587</v>
      </c>
      <c r="W8" s="202">
        <f t="shared" si="11"/>
        <v>0.43177476346006993</v>
      </c>
      <c r="X8" s="206"/>
      <c r="Y8" s="203"/>
      <c r="Z8" s="207" t="str">
        <f>IF(W8&lt;0.25,"Fully visible",
IF(W8&lt;0.45,"Partial visible",
IF(W8&lt;0.48,"Collapse transition",
"Invisible (Black hole)")))</f>
        <v>Partial visible</v>
      </c>
      <c r="AA8" s="104" t="str">
        <f t="shared" si="12"/>
        <v>Collapse transition</v>
      </c>
      <c r="AB8" s="143" t="str">
        <f t="shared" si="13"/>
        <v>Invisible (geometric)</v>
      </c>
      <c r="AC8" s="197"/>
      <c r="AD8" s="197"/>
    </row>
    <row r="9" spans="1:30" ht="15" thickBot="1" x14ac:dyDescent="0.4">
      <c r="A9" s="34" t="s">
        <v>77</v>
      </c>
      <c r="B9" s="125"/>
      <c r="C9" s="125"/>
      <c r="D9" s="125"/>
      <c r="E9" s="99">
        <v>5</v>
      </c>
      <c r="F9" s="143">
        <v>17.100000000000001</v>
      </c>
      <c r="G9" s="202">
        <f t="shared" si="0"/>
        <v>0.29239766081871343</v>
      </c>
      <c r="H9" s="202">
        <f t="shared" si="1"/>
        <v>0.43157894736842101</v>
      </c>
      <c r="I9" s="202">
        <f t="shared" si="2"/>
        <v>3.0737427112799162E+17</v>
      </c>
      <c r="J9" s="99">
        <v>0.2</v>
      </c>
      <c r="K9" s="202">
        <f t="shared" si="3"/>
        <v>0.68400000000000005</v>
      </c>
      <c r="L9" s="203">
        <f t="shared" si="4"/>
        <v>0.13645047307986014</v>
      </c>
      <c r="M9" s="204">
        <f t="shared" si="5"/>
        <v>2.7290094615972028E-2</v>
      </c>
      <c r="N9" s="204">
        <f t="shared" si="6"/>
        <v>5.2433777295856368E-2</v>
      </c>
      <c r="O9" s="143">
        <f t="shared" si="7"/>
        <v>0.56179775280898869</v>
      </c>
      <c r="P9" s="143">
        <f t="shared" si="8"/>
        <v>-0.50936397551313228</v>
      </c>
      <c r="Q9" s="205"/>
      <c r="R9" s="205"/>
      <c r="S9" s="205"/>
      <c r="T9" s="205"/>
      <c r="U9" s="202">
        <f t="shared" si="9"/>
        <v>0.92927365556123454</v>
      </c>
      <c r="V9" s="203">
        <f t="shared" si="10"/>
        <v>0.77235772357723587</v>
      </c>
      <c r="W9" s="202">
        <f t="shared" si="11"/>
        <v>0.43177476346006993</v>
      </c>
      <c r="X9" s="206"/>
      <c r="Y9" s="203"/>
      <c r="Z9" s="207" t="str">
        <f>IF(W9&lt;0.25,"Fully visible",
IF(W9&lt;0.45,"Partial visible",
IF(W9&lt;0.48,"Collapse transition",
"Invisible (Black hole)")))</f>
        <v>Partial visible</v>
      </c>
      <c r="AA9" s="104" t="str">
        <f t="shared" si="12"/>
        <v>Collapse transition</v>
      </c>
      <c r="AB9" s="143" t="str">
        <f t="shared" si="13"/>
        <v>Invisible (geometric)</v>
      </c>
      <c r="AC9" s="197"/>
      <c r="AD9" s="197"/>
    </row>
    <row r="10" spans="1:30" x14ac:dyDescent="0.35">
      <c r="A10" s="36" t="s">
        <v>77</v>
      </c>
      <c r="B10" s="129"/>
      <c r="C10" s="129"/>
      <c r="D10" s="129"/>
      <c r="E10" s="208">
        <v>5</v>
      </c>
      <c r="F10" s="209">
        <v>17.100000000000001</v>
      </c>
      <c r="G10" s="210">
        <f t="shared" si="0"/>
        <v>0.29239766081871343</v>
      </c>
      <c r="H10" s="211">
        <f t="shared" si="1"/>
        <v>0.43157894736842101</v>
      </c>
      <c r="I10" s="211">
        <f t="shared" si="2"/>
        <v>3.0737427112799162E+17</v>
      </c>
      <c r="J10" s="208">
        <v>0.4</v>
      </c>
      <c r="K10" s="211">
        <f t="shared" si="3"/>
        <v>1.3680000000000001</v>
      </c>
      <c r="L10" s="212">
        <f t="shared" si="4"/>
        <v>0.13645047307986014</v>
      </c>
      <c r="M10" s="210">
        <f t="shared" si="5"/>
        <v>5.4580189231944055E-2</v>
      </c>
      <c r="N10" s="210">
        <f t="shared" si="6"/>
        <v>0.10486755459171274</v>
      </c>
      <c r="O10" s="209">
        <f t="shared" si="7"/>
        <v>0.56179775280898869</v>
      </c>
      <c r="P10" s="209">
        <f t="shared" si="8"/>
        <v>-0.45693019821727598</v>
      </c>
      <c r="Q10" s="213"/>
      <c r="R10" s="214"/>
      <c r="S10" s="214"/>
      <c r="T10" s="214"/>
      <c r="U10" s="215">
        <f t="shared" si="9"/>
        <v>0.92927365556123454</v>
      </c>
      <c r="V10" s="212">
        <f t="shared" si="10"/>
        <v>0.77235772357723587</v>
      </c>
      <c r="W10" s="210">
        <f t="shared" si="11"/>
        <v>0.43177476346006993</v>
      </c>
      <c r="X10" s="216"/>
      <c r="Y10" s="212"/>
      <c r="Z10" s="217" t="str">
        <f>IF(W10&lt;0.25,"Fully visible",
IF(W10&lt;0.45,"Partial visible",
IF(W10&lt;0.48,"Collapse transition",
"Invisible (Black hole)")))</f>
        <v>Partial visible</v>
      </c>
      <c r="AA10" s="218" t="str">
        <f t="shared" si="12"/>
        <v>Collapse transition</v>
      </c>
      <c r="AB10" s="209" t="str">
        <f t="shared" si="13"/>
        <v>Invisible (geometric)</v>
      </c>
      <c r="AC10" s="201"/>
      <c r="AD10" s="201"/>
    </row>
    <row r="11" spans="1:30" x14ac:dyDescent="0.35">
      <c r="A11" s="34" t="s">
        <v>77</v>
      </c>
      <c r="B11" s="125"/>
      <c r="C11" s="125"/>
      <c r="D11" s="125"/>
      <c r="E11" s="99">
        <v>5</v>
      </c>
      <c r="F11" s="143">
        <v>17.100000000000001</v>
      </c>
      <c r="G11" s="204">
        <f t="shared" si="0"/>
        <v>0.29239766081871343</v>
      </c>
      <c r="H11" s="202">
        <f t="shared" si="1"/>
        <v>0.43157894736842101</v>
      </c>
      <c r="I11" s="202">
        <f t="shared" si="2"/>
        <v>3.0737427112799162E+17</v>
      </c>
      <c r="J11" s="99">
        <v>0.6</v>
      </c>
      <c r="K11" s="202">
        <f t="shared" si="3"/>
        <v>2.052</v>
      </c>
      <c r="L11" s="203">
        <f t="shared" si="4"/>
        <v>0.13645047307986014</v>
      </c>
      <c r="M11" s="204">
        <f t="shared" si="5"/>
        <v>8.1870283847916073E-2</v>
      </c>
      <c r="N11" s="204">
        <f t="shared" si="6"/>
        <v>0.15730133188756909</v>
      </c>
      <c r="O11" s="143">
        <f t="shared" si="7"/>
        <v>0.56179775280898869</v>
      </c>
      <c r="P11" s="143">
        <f t="shared" si="8"/>
        <v>-0.40449642092141957</v>
      </c>
      <c r="Q11" s="205"/>
      <c r="R11" s="219"/>
      <c r="S11" s="219"/>
      <c r="T11" s="219"/>
      <c r="U11" s="220">
        <f t="shared" si="9"/>
        <v>0.92927365556123454</v>
      </c>
      <c r="V11" s="203">
        <f t="shared" si="10"/>
        <v>0.77235772357723587</v>
      </c>
      <c r="W11" s="204">
        <f t="shared" si="11"/>
        <v>0.43177476346006993</v>
      </c>
      <c r="X11" s="221"/>
      <c r="Y11" s="203"/>
      <c r="Z11" s="207" t="str">
        <f>IF(W11&lt;0.25,"Fully visible",
IF(W11&lt;0.45,"Partial visible",
IF(W11&lt;0.48,"Collapse transition",
"Invisible (Black hole)")))</f>
        <v>Partial visible</v>
      </c>
      <c r="AA11" s="104" t="str">
        <f t="shared" si="12"/>
        <v>Collapse transition</v>
      </c>
      <c r="AB11" s="143" t="str">
        <f t="shared" si="13"/>
        <v>Invisible (geometric)</v>
      </c>
      <c r="AC11" s="197"/>
      <c r="AD11" s="197"/>
    </row>
    <row r="12" spans="1:30" x14ac:dyDescent="0.35">
      <c r="A12" s="107" t="s">
        <v>33</v>
      </c>
      <c r="B12" s="100">
        <v>3.6</v>
      </c>
      <c r="C12" s="100">
        <v>3.6</v>
      </c>
      <c r="D12" s="100">
        <v>3.6</v>
      </c>
      <c r="E12" s="104">
        <v>3.6</v>
      </c>
      <c r="F12" s="143">
        <v>8.9</v>
      </c>
      <c r="G12" s="163">
        <f t="shared" si="0"/>
        <v>0.4044943820224719</v>
      </c>
      <c r="H12" s="100">
        <f t="shared" si="1"/>
        <v>0.59703370786516852</v>
      </c>
      <c r="I12" s="100">
        <f t="shared" si="2"/>
        <v>2.2219828416177491E+17</v>
      </c>
      <c r="J12" s="102">
        <v>0</v>
      </c>
      <c r="K12" s="103">
        <f t="shared" si="3"/>
        <v>0</v>
      </c>
      <c r="L12" s="102">
        <f t="shared" si="4"/>
        <v>-0.19460918825177109</v>
      </c>
      <c r="M12" s="162">
        <f t="shared" si="5"/>
        <v>0</v>
      </c>
      <c r="N12" s="162">
        <f t="shared" si="6"/>
        <v>0</v>
      </c>
      <c r="O12" s="163">
        <f t="shared" si="7"/>
        <v>0.4044943820224719</v>
      </c>
      <c r="P12" s="163">
        <f t="shared" si="8"/>
        <v>-0.4044943820224719</v>
      </c>
      <c r="Q12" s="100">
        <f>'[1]Mass Min'!M7</f>
        <v>-0.4044943820224719</v>
      </c>
      <c r="R12" s="104">
        <f>'[1]Mass Max'!M7</f>
        <v>-0.4044943820224719</v>
      </c>
      <c r="S12" s="104">
        <f>0.000000000066743*(E12*1.98847E+30)/((F12*1000)^2)</f>
        <v>6031804463527.332</v>
      </c>
      <c r="T12" s="104">
        <f>(F12*1000)/S12</f>
        <v>1.4755120219522797E-9</v>
      </c>
      <c r="U12" s="188">
        <f t="shared" si="9"/>
        <v>1.0929817877036063</v>
      </c>
      <c r="V12" s="104">
        <f t="shared" si="10"/>
        <v>0.55831576834286867</v>
      </c>
      <c r="W12" s="163">
        <f t="shared" si="11"/>
        <v>0.59730459412588555</v>
      </c>
      <c r="X12" s="188">
        <f>LOG10(S12)</f>
        <v>12.780447254316039</v>
      </c>
      <c r="Y12" s="104" t="s">
        <v>28</v>
      </c>
      <c r="Z12" s="104" t="str">
        <f>IF(W12&lt;0.25,"Fully visible",
IF(W12&lt;0.3,"Partial visible",
IF(W12&lt;0.32,"Collapse boundary",
"Invisible (Black hole)")))</f>
        <v>Invisible (Black hole)</v>
      </c>
      <c r="AA12" s="104" t="str">
        <f t="shared" si="12"/>
        <v>Invisible (Black hole)</v>
      </c>
      <c r="AB12" s="163" t="str">
        <f t="shared" si="13"/>
        <v>Stellar Black hole</v>
      </c>
      <c r="AC12" s="110">
        <f>E12*1.788E+47</f>
        <v>6.4367999999999998E+47</v>
      </c>
      <c r="AD12" s="110">
        <f>0.000000000066743*(E12*1.98847E+30)^2/(F12*1000)</f>
        <v>3.8428975357974976E+47</v>
      </c>
    </row>
    <row r="13" spans="1:30" x14ac:dyDescent="0.35">
      <c r="A13" s="34" t="s">
        <v>77</v>
      </c>
      <c r="B13" s="125"/>
      <c r="C13" s="125"/>
      <c r="D13" s="125"/>
      <c r="E13" s="99">
        <v>5</v>
      </c>
      <c r="F13" s="143">
        <v>17.100000000000001</v>
      </c>
      <c r="G13" s="204">
        <f t="shared" si="0"/>
        <v>0.29239766081871343</v>
      </c>
      <c r="H13" s="202">
        <f t="shared" si="1"/>
        <v>0.43157894736842101</v>
      </c>
      <c r="I13" s="202">
        <f t="shared" si="2"/>
        <v>3.0737427112799162E+17</v>
      </c>
      <c r="J13" s="99">
        <v>0.8</v>
      </c>
      <c r="K13" s="202">
        <f t="shared" si="3"/>
        <v>2.7360000000000002</v>
      </c>
      <c r="L13" s="203">
        <f t="shared" si="4"/>
        <v>0.13645047307986014</v>
      </c>
      <c r="M13" s="204">
        <f t="shared" si="5"/>
        <v>0.10916037846388811</v>
      </c>
      <c r="N13" s="204">
        <f t="shared" si="6"/>
        <v>0.20973510918342547</v>
      </c>
      <c r="O13" s="143">
        <f t="shared" si="7"/>
        <v>0.56179775280898869</v>
      </c>
      <c r="P13" s="143">
        <f t="shared" si="8"/>
        <v>-0.35206264362556322</v>
      </c>
      <c r="Q13" s="205"/>
      <c r="R13" s="219"/>
      <c r="S13" s="219"/>
      <c r="T13" s="219"/>
      <c r="U13" s="220">
        <f t="shared" si="9"/>
        <v>0.92927365556123454</v>
      </c>
      <c r="V13" s="203">
        <f t="shared" si="10"/>
        <v>0.77235772357723587</v>
      </c>
      <c r="W13" s="204">
        <f t="shared" si="11"/>
        <v>0.43177476346006993</v>
      </c>
      <c r="X13" s="221"/>
      <c r="Y13" s="203"/>
      <c r="Z13" s="207" t="str">
        <f>IF(W13&lt;0.25,"Fully visible",
IF(W13&lt;0.45,"Partial visible",
IF(W13&lt;0.48,"Collapse transition",
"Invisible (Black hole)")))</f>
        <v>Partial visible</v>
      </c>
      <c r="AA13" s="104" t="str">
        <f t="shared" si="12"/>
        <v>Collapse transition</v>
      </c>
      <c r="AB13" s="143" t="str">
        <f t="shared" si="13"/>
        <v>Invisible (geometric)</v>
      </c>
      <c r="AC13" s="197"/>
      <c r="AD13" s="197"/>
    </row>
    <row r="14" spans="1:30" x14ac:dyDescent="0.35">
      <c r="A14" s="34" t="s">
        <v>77</v>
      </c>
      <c r="B14" s="125"/>
      <c r="C14" s="125"/>
      <c r="D14" s="125"/>
      <c r="E14" s="99">
        <v>3</v>
      </c>
      <c r="F14" s="143">
        <v>14.4</v>
      </c>
      <c r="G14" s="204">
        <f t="shared" si="0"/>
        <v>0.20833333333333331</v>
      </c>
      <c r="H14" s="202">
        <f t="shared" si="1"/>
        <v>0.3075</v>
      </c>
      <c r="I14" s="202">
        <f t="shared" si="2"/>
        <v>4.3140248579367251E+17</v>
      </c>
      <c r="J14" s="99">
        <v>0</v>
      </c>
      <c r="K14" s="202">
        <f t="shared" si="3"/>
        <v>0</v>
      </c>
      <c r="L14" s="203">
        <f t="shared" si="4"/>
        <v>0.38472096206940043</v>
      </c>
      <c r="M14" s="204">
        <f t="shared" si="5"/>
        <v>0</v>
      </c>
      <c r="N14" s="204">
        <f t="shared" si="6"/>
        <v>0</v>
      </c>
      <c r="O14" s="143">
        <f t="shared" si="7"/>
        <v>0.33707865168539325</v>
      </c>
      <c r="P14" s="143">
        <f t="shared" si="8"/>
        <v>-0.33707865168539325</v>
      </c>
      <c r="Q14" s="205"/>
      <c r="R14" s="219"/>
      <c r="S14" s="219"/>
      <c r="T14" s="219"/>
      <c r="U14" s="220">
        <f t="shared" si="9"/>
        <v>0.78439724497897079</v>
      </c>
      <c r="V14" s="203">
        <f t="shared" si="10"/>
        <v>1.0840108401084012</v>
      </c>
      <c r="W14" s="204">
        <f t="shared" si="11"/>
        <v>0.30763951896529979</v>
      </c>
      <c r="X14" s="221"/>
      <c r="Y14" s="203"/>
      <c r="Z14" s="207" t="str">
        <f>IF(W14&lt;0.25,"Fully visible",
IF(W14&lt;0.45,"Partial visible",
IF(W14&lt;0.48,"Collapse transition",
"Invisible (Black hole)")))</f>
        <v>Partial visible</v>
      </c>
      <c r="AA14" s="104" t="str">
        <f t="shared" si="12"/>
        <v>Partial visible</v>
      </c>
      <c r="AB14" s="143" t="str">
        <f t="shared" si="13"/>
        <v>Invisible (geometric)</v>
      </c>
      <c r="AC14" s="197"/>
      <c r="AD14" s="197"/>
    </row>
    <row r="15" spans="1:30" x14ac:dyDescent="0.35">
      <c r="A15" s="107" t="s">
        <v>34</v>
      </c>
      <c r="B15" s="100">
        <v>2.9</v>
      </c>
      <c r="C15" s="100">
        <v>2.9</v>
      </c>
      <c r="D15" s="100">
        <v>2.9</v>
      </c>
      <c r="E15" s="104">
        <v>2.9</v>
      </c>
      <c r="F15" s="143">
        <v>8.9</v>
      </c>
      <c r="G15" s="163">
        <f t="shared" si="0"/>
        <v>0.32584269662921345</v>
      </c>
      <c r="H15" s="100">
        <f t="shared" si="1"/>
        <v>0.48094382022471904</v>
      </c>
      <c r="I15" s="100">
        <f t="shared" si="2"/>
        <v>2.7582972406654352E+17</v>
      </c>
      <c r="J15" s="102">
        <v>0</v>
      </c>
      <c r="K15" s="103">
        <f t="shared" si="3"/>
        <v>0</v>
      </c>
      <c r="L15" s="102">
        <f t="shared" si="4"/>
        <v>3.7675931686073305E-2</v>
      </c>
      <c r="M15" s="162">
        <f t="shared" si="5"/>
        <v>0</v>
      </c>
      <c r="N15" s="162">
        <f t="shared" si="6"/>
        <v>0</v>
      </c>
      <c r="O15" s="163">
        <f t="shared" si="7"/>
        <v>0.32584269662921345</v>
      </c>
      <c r="P15" s="163">
        <f t="shared" si="8"/>
        <v>-0.32584269662921345</v>
      </c>
      <c r="Q15" s="100">
        <f>'[1]Mass Min'!M8</f>
        <v>-0.32584269662921345</v>
      </c>
      <c r="R15" s="104">
        <f>'[1]Mass Max'!M8</f>
        <v>-0.32584269662921345</v>
      </c>
      <c r="S15" s="104">
        <f>0.000000000066743*(E15*1.98847E+30)/((F15*1000)^2)</f>
        <v>4858953595619.2393</v>
      </c>
      <c r="T15" s="104">
        <f>(F15*1000)/S15</f>
        <v>1.8316700962166233E-9</v>
      </c>
      <c r="U15" s="188">
        <f t="shared" si="9"/>
        <v>0.98098117633006943</v>
      </c>
      <c r="V15" s="104">
        <f t="shared" si="10"/>
        <v>0.69308164346011281</v>
      </c>
      <c r="W15" s="163">
        <f t="shared" si="11"/>
        <v>0.48116203415696335</v>
      </c>
      <c r="X15" s="188">
        <f>LOG10(S15)</f>
        <v>12.686542751447709</v>
      </c>
      <c r="Y15" s="104" t="s">
        <v>28</v>
      </c>
      <c r="Z15" s="104" t="str">
        <f>IF(W15&lt;0.25,"Fully visible",
IF(W15&lt;0.3,"Partial visible",
IF(W15&lt;0.32,"Collapse boundary",
"Invisible (Black hole)")))</f>
        <v>Invisible (Black hole)</v>
      </c>
      <c r="AA15" s="104" t="str">
        <f t="shared" si="12"/>
        <v>Invisible (Black hole)</v>
      </c>
      <c r="AB15" s="163" t="str">
        <f t="shared" si="13"/>
        <v>Invisible (geometric)</v>
      </c>
      <c r="AC15" s="110">
        <f>E15*1.788E+47</f>
        <v>5.1852E+47</v>
      </c>
      <c r="AD15" s="110">
        <f>0.000000000066743*(E15*1.98847E+30)^2/(F15*1000)</f>
        <v>2.4937321200661228E+47</v>
      </c>
    </row>
    <row r="16" spans="1:30" x14ac:dyDescent="0.35">
      <c r="A16" s="34" t="s">
        <v>77</v>
      </c>
      <c r="B16" s="119"/>
      <c r="C16" s="119"/>
      <c r="D16" s="119"/>
      <c r="E16" s="150">
        <v>2.8</v>
      </c>
      <c r="F16" s="147">
        <v>9</v>
      </c>
      <c r="G16" s="155">
        <f t="shared" si="0"/>
        <v>0.31111111111111112</v>
      </c>
      <c r="H16" s="21">
        <f t="shared" si="1"/>
        <v>0.4592</v>
      </c>
      <c r="I16" s="21">
        <f t="shared" si="2"/>
        <v>2.8888559316540563E+17</v>
      </c>
      <c r="J16" s="28">
        <v>0.1</v>
      </c>
      <c r="K16" s="19">
        <f t="shared" si="3"/>
        <v>0.32142857142857145</v>
      </c>
      <c r="L16" s="22">
        <f t="shared" si="4"/>
        <v>8.1183303356971215E-2</v>
      </c>
      <c r="M16" s="157">
        <f t="shared" si="5"/>
        <v>8.1183303356971211E-3</v>
      </c>
      <c r="N16" s="157">
        <f t="shared" si="6"/>
        <v>8.2095475304802337E-3</v>
      </c>
      <c r="O16" s="147">
        <f t="shared" si="7"/>
        <v>0.3146067415730337</v>
      </c>
      <c r="P16" s="147">
        <f t="shared" si="8"/>
        <v>-0.30639719404255344</v>
      </c>
      <c r="Q16" s="135"/>
      <c r="R16" s="136"/>
      <c r="S16" s="136"/>
      <c r="T16" s="136"/>
      <c r="U16" s="191">
        <f t="shared" si="9"/>
        <v>0.9585492666749208</v>
      </c>
      <c r="V16" s="136">
        <f t="shared" si="10"/>
        <v>0.72590011614401861</v>
      </c>
      <c r="W16" s="166">
        <f t="shared" si="11"/>
        <v>0.45940834832151439</v>
      </c>
      <c r="X16" s="191"/>
      <c r="Y16" s="136"/>
      <c r="Z16" s="117" t="str">
        <f t="shared" ref="Z16:Z42" si="14">IF(W16&lt;0.25,"Fully visible",
IF(W16&lt;0.45,"Partial visible",
IF(W16&lt;0.48,"Collapse transition",
"Invisible (Black hole)")))</f>
        <v>Collapse transition</v>
      </c>
      <c r="AA16" s="2" t="str">
        <f t="shared" si="12"/>
        <v>Collapse transition</v>
      </c>
      <c r="AB16" s="147" t="str">
        <f t="shared" si="13"/>
        <v>Collapse boundary</v>
      </c>
      <c r="AC16" s="197"/>
      <c r="AD16" s="197"/>
    </row>
    <row r="17" spans="1:30" x14ac:dyDescent="0.35">
      <c r="A17" s="167" t="s">
        <v>73</v>
      </c>
      <c r="B17" s="119"/>
      <c r="C17" s="119"/>
      <c r="D17" s="119"/>
      <c r="E17" s="150">
        <v>2.8</v>
      </c>
      <c r="F17" s="147">
        <v>9.5</v>
      </c>
      <c r="G17" s="155">
        <f t="shared" si="0"/>
        <v>0.29473684210526313</v>
      </c>
      <c r="H17" s="21">
        <f t="shared" si="1"/>
        <v>0.43503157894736838</v>
      </c>
      <c r="I17" s="21">
        <f t="shared" si="2"/>
        <v>3.0493479278570598E+17</v>
      </c>
      <c r="J17" s="28">
        <v>0.1</v>
      </c>
      <c r="K17" s="120">
        <f t="shared" si="3"/>
        <v>0.33928571428571436</v>
      </c>
      <c r="L17" s="22">
        <f t="shared" si="4"/>
        <v>0.12954207686449903</v>
      </c>
      <c r="M17" s="157">
        <f t="shared" si="5"/>
        <v>1.2954207686449904E-2</v>
      </c>
      <c r="N17" s="157">
        <f t="shared" si="6"/>
        <v>1.3827525058570121E-2</v>
      </c>
      <c r="O17" s="147">
        <f t="shared" si="7"/>
        <v>0.3146067415730337</v>
      </c>
      <c r="P17" s="147">
        <f t="shared" si="8"/>
        <v>-0.3007792165144636</v>
      </c>
      <c r="Q17" s="120"/>
      <c r="R17" s="1"/>
      <c r="S17" s="1"/>
      <c r="T17" s="1"/>
      <c r="U17" s="189">
        <f t="shared" si="9"/>
        <v>0.93298334558313578</v>
      </c>
      <c r="V17" s="2">
        <f t="shared" si="10"/>
        <v>0.76622790037424193</v>
      </c>
      <c r="W17" s="155">
        <f t="shared" si="11"/>
        <v>0.43522896156775048</v>
      </c>
      <c r="X17" s="141"/>
      <c r="Y17" s="2" t="s">
        <v>28</v>
      </c>
      <c r="Z17" s="117" t="str">
        <f t="shared" si="14"/>
        <v>Partial visible</v>
      </c>
      <c r="AA17" s="2" t="str">
        <f t="shared" si="12"/>
        <v>Collapse transition</v>
      </c>
      <c r="AB17" s="147" t="str">
        <f t="shared" si="13"/>
        <v>Collapse boundary</v>
      </c>
      <c r="AC17" s="197"/>
      <c r="AD17" s="197"/>
    </row>
    <row r="18" spans="1:30" x14ac:dyDescent="0.35">
      <c r="A18" s="167" t="s">
        <v>76</v>
      </c>
      <c r="B18" s="119"/>
      <c r="C18" s="119"/>
      <c r="D18" s="119"/>
      <c r="E18" s="150">
        <v>2.8</v>
      </c>
      <c r="F18" s="147">
        <v>9.5</v>
      </c>
      <c r="G18" s="155">
        <f t="shared" si="0"/>
        <v>0.29473684210526313</v>
      </c>
      <c r="H18" s="21">
        <f t="shared" si="1"/>
        <v>0.43503157894736838</v>
      </c>
      <c r="I18" s="21">
        <f t="shared" si="2"/>
        <v>3.0493479278570598E+17</v>
      </c>
      <c r="J18" s="28">
        <v>0.1</v>
      </c>
      <c r="K18" s="19">
        <f t="shared" si="3"/>
        <v>0.33928571428571436</v>
      </c>
      <c r="L18" s="22">
        <f t="shared" si="4"/>
        <v>0.12954207686449903</v>
      </c>
      <c r="M18" s="157">
        <f t="shared" si="5"/>
        <v>1.2954207686449904E-2</v>
      </c>
      <c r="N18" s="157">
        <f t="shared" si="6"/>
        <v>1.3827525058570121E-2</v>
      </c>
      <c r="O18" s="147">
        <f t="shared" si="7"/>
        <v>0.3146067415730337</v>
      </c>
      <c r="P18" s="147">
        <f t="shared" si="8"/>
        <v>-0.3007792165144636</v>
      </c>
      <c r="Q18" s="135"/>
      <c r="R18" s="136"/>
      <c r="S18" s="136"/>
      <c r="T18" s="136"/>
      <c r="U18" s="191">
        <f t="shared" si="9"/>
        <v>0.93298334558313578</v>
      </c>
      <c r="V18" s="136">
        <f t="shared" si="10"/>
        <v>0.76622790037424193</v>
      </c>
      <c r="W18" s="166">
        <f t="shared" si="11"/>
        <v>0.43522896156775048</v>
      </c>
      <c r="X18" s="191"/>
      <c r="Y18" s="136"/>
      <c r="Z18" s="117" t="str">
        <f t="shared" si="14"/>
        <v>Partial visible</v>
      </c>
      <c r="AA18" s="2" t="str">
        <f t="shared" si="12"/>
        <v>Collapse transition</v>
      </c>
      <c r="AB18" s="147" t="str">
        <f t="shared" si="13"/>
        <v>Collapse boundary</v>
      </c>
      <c r="AC18" s="197"/>
      <c r="AD18" s="197"/>
    </row>
    <row r="19" spans="1:30" x14ac:dyDescent="0.35">
      <c r="A19" s="167" t="s">
        <v>73</v>
      </c>
      <c r="B19" s="119"/>
      <c r="C19" s="119"/>
      <c r="D19" s="119"/>
      <c r="E19" s="150">
        <v>3</v>
      </c>
      <c r="F19" s="147">
        <v>12.1</v>
      </c>
      <c r="G19" s="155">
        <f t="shared" si="0"/>
        <v>0.24793388429752067</v>
      </c>
      <c r="H19" s="21">
        <f t="shared" si="1"/>
        <v>0.36595041322314048</v>
      </c>
      <c r="I19" s="21">
        <f t="shared" si="2"/>
        <v>3.6249792209051642E+17</v>
      </c>
      <c r="J19" s="28">
        <v>0.1</v>
      </c>
      <c r="K19" s="120">
        <f t="shared" si="3"/>
        <v>0.40333333333333332</v>
      </c>
      <c r="L19" s="22">
        <f t="shared" si="4"/>
        <v>0.26776709535531951</v>
      </c>
      <c r="M19" s="157">
        <f t="shared" si="5"/>
        <v>2.6776709535531951E-2</v>
      </c>
      <c r="N19" s="157">
        <f t="shared" si="6"/>
        <v>3.6404290492127706E-2</v>
      </c>
      <c r="O19" s="147">
        <f t="shared" si="7"/>
        <v>0.33707865168539325</v>
      </c>
      <c r="P19" s="147">
        <f t="shared" si="8"/>
        <v>-0.30067436119326552</v>
      </c>
      <c r="Q19" s="120"/>
      <c r="R19" s="2"/>
      <c r="S19" s="2"/>
      <c r="T19" s="2"/>
      <c r="U19" s="189">
        <f t="shared" si="9"/>
        <v>0.85570608543160454</v>
      </c>
      <c r="V19" s="2">
        <f t="shared" si="10"/>
        <v>0.91087021981330929</v>
      </c>
      <c r="W19" s="155">
        <f t="shared" si="11"/>
        <v>0.36611645232234025</v>
      </c>
      <c r="X19" s="189"/>
      <c r="Y19" s="2" t="s">
        <v>28</v>
      </c>
      <c r="Z19" s="117" t="str">
        <f t="shared" si="14"/>
        <v>Partial visible</v>
      </c>
      <c r="AA19" s="2" t="str">
        <f t="shared" si="12"/>
        <v>Collapse transition</v>
      </c>
      <c r="AB19" s="147" t="str">
        <f t="shared" si="13"/>
        <v>Collapse boundary</v>
      </c>
      <c r="AC19" s="197"/>
      <c r="AD19" s="197"/>
    </row>
    <row r="20" spans="1:30" x14ac:dyDescent="0.35">
      <c r="A20" s="167" t="s">
        <v>73</v>
      </c>
      <c r="B20" s="119"/>
      <c r="C20" s="119"/>
      <c r="D20" s="119"/>
      <c r="E20" s="150">
        <v>3.27</v>
      </c>
      <c r="F20" s="147">
        <v>15.65</v>
      </c>
      <c r="G20" s="155">
        <f t="shared" si="0"/>
        <v>0.20894568690095847</v>
      </c>
      <c r="H20" s="21">
        <f t="shared" si="1"/>
        <v>0.30840383386581471</v>
      </c>
      <c r="I20" s="21">
        <f t="shared" si="2"/>
        <v>4.301381818725136E+17</v>
      </c>
      <c r="J20" s="28">
        <v>0.1</v>
      </c>
      <c r="K20" s="120">
        <f t="shared" si="3"/>
        <v>0.47859327217125386</v>
      </c>
      <c r="L20" s="22">
        <f t="shared" si="4"/>
        <v>0.38291247416238383</v>
      </c>
      <c r="M20" s="157">
        <f t="shared" si="5"/>
        <v>3.8291247416238385E-2</v>
      </c>
      <c r="N20" s="157">
        <f t="shared" si="6"/>
        <v>6.73323620296776E-2</v>
      </c>
      <c r="O20" s="147">
        <f t="shared" si="7"/>
        <v>0.36741573033707864</v>
      </c>
      <c r="P20" s="147">
        <f t="shared" si="8"/>
        <v>-0.30008336830740101</v>
      </c>
      <c r="Q20" s="120"/>
      <c r="R20" s="2"/>
      <c r="S20" s="2"/>
      <c r="T20" s="2"/>
      <c r="U20" s="189">
        <f t="shared" si="9"/>
        <v>0.78554918740815727</v>
      </c>
      <c r="V20" s="2">
        <f t="shared" si="10"/>
        <v>1.0808339479928948</v>
      </c>
      <c r="W20" s="155">
        <f t="shared" si="11"/>
        <v>0.30854376291880808</v>
      </c>
      <c r="X20" s="189"/>
      <c r="Y20" s="2" t="s">
        <v>28</v>
      </c>
      <c r="Z20" s="117" t="str">
        <f t="shared" si="14"/>
        <v>Partial visible</v>
      </c>
      <c r="AA20" s="2" t="str">
        <f t="shared" si="12"/>
        <v>Partial visible</v>
      </c>
      <c r="AB20" s="147" t="str">
        <f t="shared" si="13"/>
        <v>Collapse boundary</v>
      </c>
      <c r="AC20" s="197"/>
      <c r="AD20" s="197"/>
    </row>
    <row r="21" spans="1:30" x14ac:dyDescent="0.35">
      <c r="A21" s="167" t="s">
        <v>73</v>
      </c>
      <c r="B21" s="119"/>
      <c r="C21" s="119"/>
      <c r="D21" s="119"/>
      <c r="E21" s="150">
        <v>3.4</v>
      </c>
      <c r="F21" s="147">
        <v>17.34</v>
      </c>
      <c r="G21" s="155">
        <f t="shared" si="0"/>
        <v>0.19607843137254902</v>
      </c>
      <c r="H21" s="21">
        <f t="shared" si="1"/>
        <v>0.28941176470588237</v>
      </c>
      <c r="I21" s="21">
        <f t="shared" si="2"/>
        <v>4.5836514115577696E+17</v>
      </c>
      <c r="J21" s="28">
        <v>0.1</v>
      </c>
      <c r="K21" s="120">
        <f t="shared" si="3"/>
        <v>0.51</v>
      </c>
      <c r="L21" s="22">
        <f t="shared" si="4"/>
        <v>0.42091384665355336</v>
      </c>
      <c r="M21" s="157">
        <f t="shared" si="5"/>
        <v>4.2091384665355336E-2</v>
      </c>
      <c r="N21" s="157">
        <f t="shared" si="6"/>
        <v>8.2007259561490062E-2</v>
      </c>
      <c r="O21" s="147">
        <f t="shared" si="7"/>
        <v>0.38202247191011235</v>
      </c>
      <c r="P21" s="147">
        <f t="shared" si="8"/>
        <v>-0.30001521234862227</v>
      </c>
      <c r="Q21" s="120"/>
      <c r="R21" s="2"/>
      <c r="S21" s="2"/>
      <c r="T21" s="2"/>
      <c r="U21" s="189">
        <f t="shared" si="9"/>
        <v>0.76097710435100918</v>
      </c>
      <c r="V21" s="2">
        <f t="shared" si="10"/>
        <v>1.1517615176151761</v>
      </c>
      <c r="W21" s="155">
        <f t="shared" si="11"/>
        <v>0.28954307667322338</v>
      </c>
      <c r="X21" s="189"/>
      <c r="Y21" s="2" t="s">
        <v>28</v>
      </c>
      <c r="Z21" s="117" t="str">
        <f t="shared" si="14"/>
        <v>Partial visible</v>
      </c>
      <c r="AA21" s="2" t="str">
        <f t="shared" si="12"/>
        <v>Partial visible</v>
      </c>
      <c r="AB21" s="147" t="str">
        <f t="shared" si="13"/>
        <v>Collapse boundary</v>
      </c>
      <c r="AC21" s="197"/>
      <c r="AD21" s="197"/>
    </row>
    <row r="22" spans="1:30" ht="15" thickBot="1" x14ac:dyDescent="0.4">
      <c r="A22" s="170" t="s">
        <v>73</v>
      </c>
      <c r="B22" s="122"/>
      <c r="C22" s="122"/>
      <c r="D22" s="122"/>
      <c r="E22" s="151">
        <v>3.2</v>
      </c>
      <c r="F22" s="153">
        <v>14.75</v>
      </c>
      <c r="G22" s="156">
        <f t="shared" si="0"/>
        <v>0.2169491525423729</v>
      </c>
      <c r="H22" s="32">
        <f t="shared" si="1"/>
        <v>0.3202169491525424</v>
      </c>
      <c r="I22" s="32">
        <f t="shared" si="2"/>
        <v>4.1426996519900179E+17</v>
      </c>
      <c r="J22" s="182">
        <v>0.1</v>
      </c>
      <c r="K22" s="123">
        <f t="shared" si="3"/>
        <v>0.4609375</v>
      </c>
      <c r="L22" s="33">
        <f t="shared" si="4"/>
        <v>0.35927552389057549</v>
      </c>
      <c r="M22" s="158">
        <f t="shared" si="5"/>
        <v>3.5927552389057552E-2</v>
      </c>
      <c r="N22" s="158">
        <f t="shared" si="6"/>
        <v>5.9542853678494254E-2</v>
      </c>
      <c r="O22" s="153">
        <f t="shared" si="7"/>
        <v>0.3595505617977528</v>
      </c>
      <c r="P22" s="153">
        <f t="shared" si="8"/>
        <v>-0.30000770811925853</v>
      </c>
      <c r="Q22" s="123"/>
      <c r="R22" s="37"/>
      <c r="S22" s="37"/>
      <c r="T22" s="37"/>
      <c r="U22" s="190">
        <f t="shared" si="9"/>
        <v>0.80045266949984273</v>
      </c>
      <c r="V22" s="37">
        <f t="shared" si="10"/>
        <v>1.0409609304426377</v>
      </c>
      <c r="W22" s="156">
        <f t="shared" si="11"/>
        <v>0.32036223805471226</v>
      </c>
      <c r="X22" s="190"/>
      <c r="Y22" s="37" t="s">
        <v>28</v>
      </c>
      <c r="Z22" s="124" t="str">
        <f t="shared" si="14"/>
        <v>Partial visible</v>
      </c>
      <c r="AA22" s="37" t="str">
        <f t="shared" si="12"/>
        <v>Partial visible</v>
      </c>
      <c r="AB22" s="153" t="str">
        <f t="shared" si="13"/>
        <v>Collapse boundary</v>
      </c>
      <c r="AC22" s="199"/>
      <c r="AD22" s="199"/>
    </row>
    <row r="23" spans="1:30" x14ac:dyDescent="0.35">
      <c r="A23" s="36" t="s">
        <v>77</v>
      </c>
      <c r="B23" s="129"/>
      <c r="C23" s="129"/>
      <c r="D23" s="129"/>
      <c r="E23" s="115">
        <v>5</v>
      </c>
      <c r="F23" s="145">
        <v>17.100000000000001</v>
      </c>
      <c r="G23" s="154">
        <f t="shared" si="0"/>
        <v>0.29239766081871343</v>
      </c>
      <c r="H23" s="12">
        <f t="shared" si="1"/>
        <v>0.43157894736842101</v>
      </c>
      <c r="I23" s="12">
        <f t="shared" si="2"/>
        <v>3.0737427112799162E+17</v>
      </c>
      <c r="J23" s="115">
        <v>1</v>
      </c>
      <c r="K23" s="12">
        <f t="shared" si="3"/>
        <v>3.4200000000000004</v>
      </c>
      <c r="L23" s="13">
        <f t="shared" si="4"/>
        <v>0.13645047307986014</v>
      </c>
      <c r="M23" s="154">
        <f t="shared" si="5"/>
        <v>0.13645047307986014</v>
      </c>
      <c r="N23" s="154">
        <f t="shared" si="6"/>
        <v>0.26216888647928188</v>
      </c>
      <c r="O23" s="145">
        <f t="shared" si="7"/>
        <v>0.56179775280898869</v>
      </c>
      <c r="P23" s="145">
        <f t="shared" si="8"/>
        <v>-0.29962886632970681</v>
      </c>
      <c r="Q23" s="128"/>
      <c r="R23" s="187"/>
      <c r="S23" s="187"/>
      <c r="T23" s="187"/>
      <c r="U23" s="13">
        <f t="shared" si="9"/>
        <v>0.92927365556123454</v>
      </c>
      <c r="V23" s="13">
        <f t="shared" si="10"/>
        <v>0.77235772357723587</v>
      </c>
      <c r="W23" s="13">
        <f t="shared" si="11"/>
        <v>0.43177476346006993</v>
      </c>
      <c r="X23" s="140"/>
      <c r="Y23" s="13"/>
      <c r="Z23" s="127" t="str">
        <f t="shared" si="14"/>
        <v>Partial visible</v>
      </c>
      <c r="AA23" s="38" t="str">
        <f t="shared" si="12"/>
        <v>Collapse transition</v>
      </c>
      <c r="AB23" s="145" t="str">
        <f t="shared" si="13"/>
        <v>Collapse boundary</v>
      </c>
      <c r="AC23" s="201"/>
      <c r="AD23" s="201"/>
    </row>
    <row r="24" spans="1:30" x14ac:dyDescent="0.35">
      <c r="A24" s="167" t="s">
        <v>73</v>
      </c>
      <c r="B24" s="119"/>
      <c r="C24" s="119"/>
      <c r="D24" s="119"/>
      <c r="E24" s="150">
        <v>3.27</v>
      </c>
      <c r="F24" s="147">
        <v>15.99</v>
      </c>
      <c r="G24" s="155">
        <f t="shared" si="0"/>
        <v>0.20450281425891181</v>
      </c>
      <c r="H24" s="21">
        <f t="shared" si="1"/>
        <v>0.30184615384615382</v>
      </c>
      <c r="I24" s="21">
        <f t="shared" si="2"/>
        <v>4.3948303694194842E+17</v>
      </c>
      <c r="J24" s="28">
        <v>0.1</v>
      </c>
      <c r="K24" s="120">
        <f t="shared" si="3"/>
        <v>0.48899082568807345</v>
      </c>
      <c r="L24" s="22">
        <f t="shared" si="4"/>
        <v>0.39603378490564767</v>
      </c>
      <c r="M24" s="157">
        <f t="shared" si="5"/>
        <v>3.9603378490564771E-2</v>
      </c>
      <c r="N24" s="157">
        <f t="shared" si="6"/>
        <v>7.1152586748778737E-2</v>
      </c>
      <c r="O24" s="147">
        <f t="shared" si="7"/>
        <v>0.36741573033707864</v>
      </c>
      <c r="P24" s="147">
        <f t="shared" si="8"/>
        <v>-0.29626314358829992</v>
      </c>
      <c r="Q24" s="120"/>
      <c r="R24" s="2"/>
      <c r="S24" s="2"/>
      <c r="T24" s="2"/>
      <c r="U24" s="2">
        <f t="shared" si="9"/>
        <v>0.77715263307432225</v>
      </c>
      <c r="V24" s="2">
        <f t="shared" si="10"/>
        <v>1.1043153244988109</v>
      </c>
      <c r="W24" s="2">
        <f t="shared" si="11"/>
        <v>0.30198310754717611</v>
      </c>
      <c r="X24" s="189"/>
      <c r="Y24" s="2" t="s">
        <v>28</v>
      </c>
      <c r="Z24" s="117" t="str">
        <f t="shared" si="14"/>
        <v>Partial visible</v>
      </c>
      <c r="AA24" s="2" t="str">
        <f t="shared" si="12"/>
        <v>Partial visible</v>
      </c>
      <c r="AB24" s="147" t="str">
        <f t="shared" si="13"/>
        <v>Collapse boundary</v>
      </c>
      <c r="AC24" s="197"/>
      <c r="AD24" s="197"/>
    </row>
    <row r="25" spans="1:30" ht="15" thickBot="1" x14ac:dyDescent="0.4">
      <c r="A25" s="45" t="s">
        <v>77</v>
      </c>
      <c r="B25" s="122"/>
      <c r="C25" s="122"/>
      <c r="D25" s="122"/>
      <c r="E25" s="151">
        <v>2.8</v>
      </c>
      <c r="F25" s="153">
        <v>10</v>
      </c>
      <c r="G25" s="156">
        <f t="shared" si="0"/>
        <v>0.27999999999999997</v>
      </c>
      <c r="H25" s="32">
        <f t="shared" si="1"/>
        <v>0.41327999999999993</v>
      </c>
      <c r="I25" s="32">
        <f t="shared" si="2"/>
        <v>3.2098399240600634E+17</v>
      </c>
      <c r="J25" s="182">
        <v>0.1</v>
      </c>
      <c r="K25" s="49">
        <f t="shared" si="3"/>
        <v>0.35714285714285721</v>
      </c>
      <c r="L25" s="33">
        <f t="shared" si="4"/>
        <v>0.17306497302127399</v>
      </c>
      <c r="M25" s="158">
        <f t="shared" si="5"/>
        <v>1.73064973021274E-2</v>
      </c>
      <c r="N25" s="158">
        <f t="shared" si="6"/>
        <v>1.9445502586659998E-2</v>
      </c>
      <c r="O25" s="153">
        <f t="shared" si="7"/>
        <v>0.3146067415730337</v>
      </c>
      <c r="P25" s="153">
        <f t="shared" si="8"/>
        <v>-0.2951612389863737</v>
      </c>
      <c r="Q25" s="138"/>
      <c r="R25" s="139"/>
      <c r="S25" s="139"/>
      <c r="T25" s="139"/>
      <c r="U25" s="139">
        <f t="shared" si="9"/>
        <v>0.90935967965306552</v>
      </c>
      <c r="V25" s="139">
        <f t="shared" si="10"/>
        <v>0.80655568460446514</v>
      </c>
      <c r="W25" s="139">
        <f t="shared" si="11"/>
        <v>0.413467513489363</v>
      </c>
      <c r="X25" s="192"/>
      <c r="Y25" s="139"/>
      <c r="Z25" s="124" t="str">
        <f t="shared" si="14"/>
        <v>Partial visible</v>
      </c>
      <c r="AA25" s="37" t="str">
        <f t="shared" si="12"/>
        <v>Collapse transition</v>
      </c>
      <c r="AB25" s="153" t="str">
        <f t="shared" si="13"/>
        <v>Collapse boundary</v>
      </c>
      <c r="AC25" s="199"/>
      <c r="AD25" s="199"/>
    </row>
    <row r="26" spans="1:30" x14ac:dyDescent="0.35">
      <c r="A26" s="34" t="s">
        <v>77</v>
      </c>
      <c r="B26" s="119"/>
      <c r="C26" s="119"/>
      <c r="D26" s="119"/>
      <c r="E26" s="150">
        <v>2.7</v>
      </c>
      <c r="F26" s="147">
        <v>9</v>
      </c>
      <c r="G26" s="155">
        <f t="shared" si="0"/>
        <v>0.30000000000000004</v>
      </c>
      <c r="H26" s="21">
        <f t="shared" si="1"/>
        <v>0.44280000000000008</v>
      </c>
      <c r="I26" s="21">
        <f t="shared" si="2"/>
        <v>2.9958505957893914E+17</v>
      </c>
      <c r="J26" s="28">
        <v>0.1</v>
      </c>
      <c r="K26" s="19">
        <f t="shared" si="3"/>
        <v>0.33333333333333331</v>
      </c>
      <c r="L26" s="22">
        <f t="shared" si="4"/>
        <v>0.11399818537993645</v>
      </c>
      <c r="M26" s="157">
        <f t="shared" si="5"/>
        <v>1.1399818537993645E-2</v>
      </c>
      <c r="N26" s="157">
        <f t="shared" si="6"/>
        <v>1.1527906386735147E-2</v>
      </c>
      <c r="O26" s="147">
        <f t="shared" si="7"/>
        <v>0.30337078651685395</v>
      </c>
      <c r="P26" s="147">
        <f t="shared" si="8"/>
        <v>-0.29184288013011883</v>
      </c>
      <c r="Q26" s="135"/>
      <c r="R26" s="136"/>
      <c r="S26" s="136"/>
      <c r="T26" s="136"/>
      <c r="U26" s="136">
        <f t="shared" si="9"/>
        <v>0.9412766939747651</v>
      </c>
      <c r="V26" s="136">
        <f t="shared" si="10"/>
        <v>0.75278530563083401</v>
      </c>
      <c r="W26" s="136">
        <f t="shared" si="11"/>
        <v>0.44300090731003183</v>
      </c>
      <c r="X26" s="191"/>
      <c r="Y26" s="136"/>
      <c r="Z26" s="117" t="str">
        <f t="shared" si="14"/>
        <v>Partial visible</v>
      </c>
      <c r="AA26" s="2" t="str">
        <f t="shared" si="12"/>
        <v>Collapse transition</v>
      </c>
      <c r="AB26" s="147" t="str">
        <f t="shared" si="13"/>
        <v>Collapse boundary</v>
      </c>
      <c r="AC26" s="197"/>
      <c r="AD26" s="197"/>
    </row>
    <row r="27" spans="1:30" x14ac:dyDescent="0.35">
      <c r="A27" s="34" t="s">
        <v>77</v>
      </c>
      <c r="B27" s="119"/>
      <c r="C27" s="119"/>
      <c r="D27" s="119"/>
      <c r="E27" s="150">
        <v>2.8</v>
      </c>
      <c r="F27" s="147">
        <v>11</v>
      </c>
      <c r="G27" s="155">
        <f t="shared" si="0"/>
        <v>0.25454545454545452</v>
      </c>
      <c r="H27" s="21">
        <f t="shared" si="1"/>
        <v>0.37570909090909088</v>
      </c>
      <c r="I27" s="21">
        <f t="shared" si="2"/>
        <v>3.5308239164660698E+17</v>
      </c>
      <c r="J27" s="28">
        <v>0.1</v>
      </c>
      <c r="K27" s="19">
        <f t="shared" si="3"/>
        <v>0.3928571428571429</v>
      </c>
      <c r="L27" s="22">
        <f t="shared" si="4"/>
        <v>0.24824088456479465</v>
      </c>
      <c r="M27" s="157">
        <f t="shared" si="5"/>
        <v>2.4824088456479466E-2</v>
      </c>
      <c r="N27" s="157">
        <f t="shared" si="6"/>
        <v>3.0681457642839791E-2</v>
      </c>
      <c r="O27" s="147">
        <f t="shared" si="7"/>
        <v>0.3146067415730337</v>
      </c>
      <c r="P27" s="147">
        <f t="shared" si="8"/>
        <v>-0.28392528393019389</v>
      </c>
      <c r="Q27" s="135"/>
      <c r="R27" s="136"/>
      <c r="S27" s="136"/>
      <c r="T27" s="136"/>
      <c r="U27" s="136">
        <f t="shared" si="9"/>
        <v>0.86704043471755421</v>
      </c>
      <c r="V27" s="136">
        <f t="shared" si="10"/>
        <v>0.88721125306491166</v>
      </c>
      <c r="W27" s="136">
        <f t="shared" si="11"/>
        <v>0.37587955771760267</v>
      </c>
      <c r="X27" s="191"/>
      <c r="Y27" s="136"/>
      <c r="Z27" s="117" t="str">
        <f t="shared" si="14"/>
        <v>Partial visible</v>
      </c>
      <c r="AA27" s="2" t="str">
        <f t="shared" si="12"/>
        <v>Collapse transition</v>
      </c>
      <c r="AB27" s="147" t="str">
        <f t="shared" si="13"/>
        <v>Collapse boundary</v>
      </c>
      <c r="AC27" s="197"/>
      <c r="AD27" s="197"/>
    </row>
    <row r="28" spans="1:30" x14ac:dyDescent="0.35">
      <c r="A28" s="34" t="s">
        <v>77</v>
      </c>
      <c r="B28" s="119"/>
      <c r="C28" s="119"/>
      <c r="D28" s="119"/>
      <c r="E28" s="150">
        <v>2.7</v>
      </c>
      <c r="F28" s="147">
        <v>10</v>
      </c>
      <c r="G28" s="155">
        <f t="shared" si="0"/>
        <v>0.27</v>
      </c>
      <c r="H28" s="21">
        <f t="shared" si="1"/>
        <v>0.39852000000000004</v>
      </c>
      <c r="I28" s="21">
        <f t="shared" si="2"/>
        <v>3.3287228842104352E+17</v>
      </c>
      <c r="J28" s="28">
        <v>0.1</v>
      </c>
      <c r="K28" s="19">
        <f t="shared" si="3"/>
        <v>0.37037037037037035</v>
      </c>
      <c r="L28" s="22">
        <f t="shared" si="4"/>
        <v>0.20259836684194277</v>
      </c>
      <c r="M28" s="157">
        <f t="shared" si="5"/>
        <v>2.0259836684194277E-2</v>
      </c>
      <c r="N28" s="157">
        <f t="shared" si="6"/>
        <v>2.2763861442914916E-2</v>
      </c>
      <c r="O28" s="147">
        <f t="shared" si="7"/>
        <v>0.30337078651685395</v>
      </c>
      <c r="P28" s="147">
        <f t="shared" si="8"/>
        <v>-0.28060692507393903</v>
      </c>
      <c r="Q28" s="135"/>
      <c r="R28" s="136"/>
      <c r="S28" s="136"/>
      <c r="T28" s="136"/>
      <c r="U28" s="136">
        <f t="shared" si="9"/>
        <v>0.89297347841806429</v>
      </c>
      <c r="V28" s="136">
        <f t="shared" si="10"/>
        <v>0.83642811736759337</v>
      </c>
      <c r="W28" s="136">
        <f t="shared" si="11"/>
        <v>0.39870081657902867</v>
      </c>
      <c r="X28" s="191"/>
      <c r="Y28" s="136"/>
      <c r="Z28" s="117" t="str">
        <f t="shared" si="14"/>
        <v>Partial visible</v>
      </c>
      <c r="AA28" s="2" t="str">
        <f t="shared" si="12"/>
        <v>Collapse transition</v>
      </c>
      <c r="AB28" s="147" t="str">
        <f t="shared" si="13"/>
        <v>Collapse boundary</v>
      </c>
      <c r="AC28" s="197"/>
      <c r="AD28" s="197"/>
    </row>
    <row r="29" spans="1:30" x14ac:dyDescent="0.35">
      <c r="A29" s="34" t="s">
        <v>77</v>
      </c>
      <c r="B29" s="119"/>
      <c r="C29" s="119"/>
      <c r="D29" s="119"/>
      <c r="E29" s="150">
        <v>2.6</v>
      </c>
      <c r="F29" s="147">
        <v>9</v>
      </c>
      <c r="G29" s="155">
        <f t="shared" si="0"/>
        <v>0.28888888888888892</v>
      </c>
      <c r="H29" s="21">
        <f t="shared" si="1"/>
        <v>0.42640000000000006</v>
      </c>
      <c r="I29" s="21">
        <f t="shared" si="2"/>
        <v>3.111075618704368E+17</v>
      </c>
      <c r="J29" s="28">
        <v>0.1</v>
      </c>
      <c r="K29" s="19">
        <f t="shared" si="3"/>
        <v>0.34615384615384615</v>
      </c>
      <c r="L29" s="22">
        <f t="shared" si="4"/>
        <v>0.14681306740290168</v>
      </c>
      <c r="M29" s="157">
        <f t="shared" si="5"/>
        <v>1.4681306740290168E-2</v>
      </c>
      <c r="N29" s="157">
        <f t="shared" si="6"/>
        <v>1.4846265242990056E-2</v>
      </c>
      <c r="O29" s="147">
        <f t="shared" si="7"/>
        <v>0.29213483146067415</v>
      </c>
      <c r="P29" s="147">
        <f t="shared" si="8"/>
        <v>-0.27728856621768411</v>
      </c>
      <c r="Q29" s="135"/>
      <c r="R29" s="136"/>
      <c r="S29" s="136"/>
      <c r="T29" s="136"/>
      <c r="U29" s="136">
        <f t="shared" si="9"/>
        <v>0.92368118558142021</v>
      </c>
      <c r="V29" s="136">
        <f t="shared" si="10"/>
        <v>0.78173858661663542</v>
      </c>
      <c r="W29" s="136">
        <f t="shared" si="11"/>
        <v>0.42659346629854911</v>
      </c>
      <c r="X29" s="191"/>
      <c r="Y29" s="136"/>
      <c r="Z29" s="117" t="str">
        <f t="shared" si="14"/>
        <v>Partial visible</v>
      </c>
      <c r="AA29" s="2" t="str">
        <f t="shared" si="12"/>
        <v>Collapse transition</v>
      </c>
      <c r="AB29" s="147" t="str">
        <f t="shared" si="13"/>
        <v>Collapse transition</v>
      </c>
      <c r="AC29" s="197"/>
      <c r="AD29" s="197"/>
    </row>
    <row r="30" spans="1:30" x14ac:dyDescent="0.35">
      <c r="A30" s="34" t="s">
        <v>77</v>
      </c>
      <c r="B30" s="125"/>
      <c r="C30" s="125"/>
      <c r="D30" s="125"/>
      <c r="E30" s="1">
        <v>3</v>
      </c>
      <c r="F30" s="146">
        <v>14.4</v>
      </c>
      <c r="G30" s="157">
        <f t="shared" si="0"/>
        <v>0.20833333333333331</v>
      </c>
      <c r="H30" s="21">
        <f t="shared" si="1"/>
        <v>0.3075</v>
      </c>
      <c r="I30" s="21">
        <f t="shared" si="2"/>
        <v>4.3140248579367251E+17</v>
      </c>
      <c r="J30" s="1">
        <v>0.1</v>
      </c>
      <c r="K30" s="21">
        <f t="shared" si="3"/>
        <v>0.48000000000000009</v>
      </c>
      <c r="L30" s="22">
        <f t="shared" si="4"/>
        <v>0.38472096206940043</v>
      </c>
      <c r="M30" s="157">
        <f t="shared" si="5"/>
        <v>3.8472096206940046E-2</v>
      </c>
      <c r="N30" s="157">
        <f t="shared" si="6"/>
        <v>6.2246987121341205E-2</v>
      </c>
      <c r="O30" s="146">
        <f t="shared" si="7"/>
        <v>0.33707865168539325</v>
      </c>
      <c r="P30" s="146">
        <f t="shared" si="8"/>
        <v>-0.27483166456405206</v>
      </c>
      <c r="Q30" s="130"/>
      <c r="R30" s="186"/>
      <c r="S30" s="186"/>
      <c r="T30" s="186"/>
      <c r="U30" s="22">
        <f t="shared" si="9"/>
        <v>0.78439724497897079</v>
      </c>
      <c r="V30" s="22">
        <f t="shared" si="10"/>
        <v>1.0840108401084012</v>
      </c>
      <c r="W30" s="22">
        <f t="shared" si="11"/>
        <v>0.30763951896529979</v>
      </c>
      <c r="X30" s="141"/>
      <c r="Y30" s="22"/>
      <c r="Z30" s="117" t="str">
        <f t="shared" si="14"/>
        <v>Partial visible</v>
      </c>
      <c r="AA30" s="2" t="str">
        <f t="shared" si="12"/>
        <v>Partial visible</v>
      </c>
      <c r="AB30" s="146" t="str">
        <f t="shared" si="13"/>
        <v>Collapse transition</v>
      </c>
      <c r="AC30" s="197"/>
      <c r="AD30" s="197"/>
    </row>
    <row r="31" spans="1:30" x14ac:dyDescent="0.35">
      <c r="A31" s="34" t="s">
        <v>77</v>
      </c>
      <c r="B31" s="119"/>
      <c r="C31" s="119"/>
      <c r="D31" s="119"/>
      <c r="E31" s="150">
        <v>2.7</v>
      </c>
      <c r="F31" s="147">
        <v>11</v>
      </c>
      <c r="G31" s="155">
        <f t="shared" si="0"/>
        <v>0.24545454545454548</v>
      </c>
      <c r="H31" s="21">
        <f t="shared" si="1"/>
        <v>0.36229090909090911</v>
      </c>
      <c r="I31" s="21">
        <f t="shared" si="2"/>
        <v>3.6615951726314784E+17</v>
      </c>
      <c r="J31" s="28">
        <v>0.1</v>
      </c>
      <c r="K31" s="19">
        <f t="shared" si="3"/>
        <v>0.40740740740740738</v>
      </c>
      <c r="L31" s="22">
        <f t="shared" si="4"/>
        <v>0.27508942440176631</v>
      </c>
      <c r="M31" s="157">
        <f t="shared" si="5"/>
        <v>2.7508942440176633E-2</v>
      </c>
      <c r="N31" s="157">
        <f t="shared" si="6"/>
        <v>3.3999816499094712E-2</v>
      </c>
      <c r="O31" s="147">
        <f t="shared" si="7"/>
        <v>0.30337078651685395</v>
      </c>
      <c r="P31" s="147">
        <f t="shared" si="8"/>
        <v>-0.26937097001775923</v>
      </c>
      <c r="Q31" s="135"/>
      <c r="R31" s="136"/>
      <c r="S31" s="136"/>
      <c r="T31" s="136"/>
      <c r="U31" s="136">
        <f t="shared" si="9"/>
        <v>0.85141680486013072</v>
      </c>
      <c r="V31" s="136">
        <f t="shared" si="10"/>
        <v>0.92007092910435273</v>
      </c>
      <c r="W31" s="136">
        <f t="shared" si="11"/>
        <v>0.36245528779911695</v>
      </c>
      <c r="X31" s="191"/>
      <c r="Y31" s="136"/>
      <c r="Z31" s="117" t="str">
        <f t="shared" si="14"/>
        <v>Partial visible</v>
      </c>
      <c r="AA31" s="2" t="str">
        <f t="shared" si="12"/>
        <v>Collapse transition</v>
      </c>
      <c r="AB31" s="147" t="str">
        <f t="shared" si="13"/>
        <v>Collapse transition</v>
      </c>
      <c r="AC31" s="197"/>
      <c r="AD31" s="197"/>
    </row>
    <row r="32" spans="1:30" x14ac:dyDescent="0.35">
      <c r="A32" s="34" t="s">
        <v>77</v>
      </c>
      <c r="B32" s="119"/>
      <c r="C32" s="119"/>
      <c r="D32" s="119"/>
      <c r="E32" s="150">
        <v>2.6</v>
      </c>
      <c r="F32" s="147">
        <v>10</v>
      </c>
      <c r="G32" s="155">
        <f t="shared" si="0"/>
        <v>0.26</v>
      </c>
      <c r="H32" s="21">
        <f t="shared" si="1"/>
        <v>0.38375999999999999</v>
      </c>
      <c r="I32" s="21">
        <f t="shared" si="2"/>
        <v>3.4567506874492986E+17</v>
      </c>
      <c r="J32" s="28">
        <v>0.1</v>
      </c>
      <c r="K32" s="19">
        <f t="shared" si="3"/>
        <v>0.38461538461538464</v>
      </c>
      <c r="L32" s="22">
        <f t="shared" si="4"/>
        <v>0.23213176066261143</v>
      </c>
      <c r="M32" s="157">
        <f t="shared" si="5"/>
        <v>2.3213176066261144E-2</v>
      </c>
      <c r="N32" s="157">
        <f t="shared" si="6"/>
        <v>2.6082220299169824E-2</v>
      </c>
      <c r="O32" s="147">
        <f t="shared" si="7"/>
        <v>0.29213483146067415</v>
      </c>
      <c r="P32" s="147">
        <f t="shared" si="8"/>
        <v>-0.2660526111615043</v>
      </c>
      <c r="Q32" s="135"/>
      <c r="R32" s="136"/>
      <c r="S32" s="136"/>
      <c r="T32" s="136"/>
      <c r="U32" s="136">
        <f t="shared" si="9"/>
        <v>0.87628091348459047</v>
      </c>
      <c r="V32" s="136">
        <f t="shared" si="10"/>
        <v>0.86859842957403932</v>
      </c>
      <c r="W32" s="136">
        <f t="shared" si="11"/>
        <v>0.38393411966869423</v>
      </c>
      <c r="X32" s="191"/>
      <c r="Y32" s="136"/>
      <c r="Z32" s="117" t="str">
        <f t="shared" si="14"/>
        <v>Partial visible</v>
      </c>
      <c r="AA32" s="2" t="str">
        <f t="shared" si="12"/>
        <v>Collapse transition</v>
      </c>
      <c r="AB32" s="147" t="str">
        <f t="shared" si="13"/>
        <v>Collapse transition</v>
      </c>
      <c r="AC32" s="197"/>
      <c r="AD32" s="197"/>
    </row>
    <row r="33" spans="1:30" x14ac:dyDescent="0.35">
      <c r="A33" s="34" t="s">
        <v>77</v>
      </c>
      <c r="B33" s="119"/>
      <c r="C33" s="119"/>
      <c r="D33" s="119"/>
      <c r="E33" s="150">
        <v>2.5</v>
      </c>
      <c r="F33" s="147">
        <v>9</v>
      </c>
      <c r="G33" s="155">
        <f t="shared" si="0"/>
        <v>0.27777777777777779</v>
      </c>
      <c r="H33" s="21">
        <f t="shared" si="1"/>
        <v>0.41000000000000003</v>
      </c>
      <c r="I33" s="21">
        <f t="shared" si="2"/>
        <v>3.2355186434525434E+17</v>
      </c>
      <c r="J33" s="28">
        <v>0.1</v>
      </c>
      <c r="K33" s="19">
        <f t="shared" si="3"/>
        <v>0.36</v>
      </c>
      <c r="L33" s="22">
        <f t="shared" si="4"/>
        <v>0.17962794942586713</v>
      </c>
      <c r="M33" s="157">
        <f t="shared" si="5"/>
        <v>1.7962794942586714E-2</v>
      </c>
      <c r="N33" s="157">
        <f t="shared" si="6"/>
        <v>1.8164624099244991E-2</v>
      </c>
      <c r="O33" s="147">
        <f t="shared" si="7"/>
        <v>0.28089887640449435</v>
      </c>
      <c r="P33" s="147">
        <f t="shared" si="8"/>
        <v>-0.26273425230524938</v>
      </c>
      <c r="Q33" s="135"/>
      <c r="R33" s="136"/>
      <c r="S33" s="136"/>
      <c r="T33" s="136"/>
      <c r="U33" s="136">
        <f t="shared" si="9"/>
        <v>0.90574392108041935</v>
      </c>
      <c r="V33" s="136">
        <f t="shared" si="10"/>
        <v>0.81300813008130079</v>
      </c>
      <c r="W33" s="136">
        <f t="shared" si="11"/>
        <v>0.41018602528706644</v>
      </c>
      <c r="X33" s="191"/>
      <c r="Y33" s="136"/>
      <c r="Z33" s="117" t="str">
        <f t="shared" si="14"/>
        <v>Partial visible</v>
      </c>
      <c r="AA33" s="2" t="str">
        <f t="shared" si="12"/>
        <v>Collapse transition</v>
      </c>
      <c r="AB33" s="147" t="str">
        <f t="shared" si="13"/>
        <v>Collapse transition</v>
      </c>
      <c r="AC33" s="197"/>
      <c r="AD33" s="197"/>
    </row>
    <row r="34" spans="1:30" x14ac:dyDescent="0.35">
      <c r="A34" s="34" t="s">
        <v>77</v>
      </c>
      <c r="B34" s="119"/>
      <c r="C34" s="119"/>
      <c r="D34" s="119"/>
      <c r="E34" s="150">
        <v>2.6</v>
      </c>
      <c r="F34" s="147">
        <v>11</v>
      </c>
      <c r="G34" s="155">
        <f t="shared" ref="G34:G65" si="15">E34/F34</f>
        <v>0.23636363636363636</v>
      </c>
      <c r="H34" s="21">
        <f t="shared" ref="H34:H65" si="16">G34*1.476</f>
        <v>0.34887272727272728</v>
      </c>
      <c r="I34" s="21">
        <f t="shared" ref="I34:I65" si="17">(-299792458^2 + SQRT(299792458^4 + 4*G34*S34*299792458^2)) / (2*G34)</f>
        <v>3.8024257561942285E+17</v>
      </c>
      <c r="J34" s="28">
        <v>0.1</v>
      </c>
      <c r="K34" s="19">
        <f t="shared" ref="K34:K65" si="18">J34/G34</f>
        <v>0.42307692307692313</v>
      </c>
      <c r="L34" s="22">
        <f t="shared" ref="L34:L65" si="19">IF(F34&gt;0, 1 - (2*0.000000000066743 * E34 * 1.98847E+30) / (F34 * 1000 * 299792458^2),0)</f>
        <v>0.30193796423873775</v>
      </c>
      <c r="M34" s="157">
        <f t="shared" ref="M34:M65" si="20">J34*L34</f>
        <v>3.0193796423873778E-2</v>
      </c>
      <c r="N34" s="157">
        <f t="shared" ref="N34:N65" si="21">M34*F34/8.9</f>
        <v>3.7318175355349613E-2</v>
      </c>
      <c r="O34" s="237">
        <f t="shared" ref="O34:O65" si="22">E34/8.9</f>
        <v>0.29213483146067415</v>
      </c>
      <c r="P34" s="237">
        <f t="shared" ref="P34:P65" si="23">N34-O34</f>
        <v>-0.25481665610532456</v>
      </c>
      <c r="Q34" s="19"/>
      <c r="R34" s="20"/>
      <c r="S34" s="20"/>
      <c r="T34" s="20"/>
      <c r="U34" s="20">
        <f t="shared" ref="U34:U65" si="24">SQRT(2*0.000000000066743*(E34*1.98847E+30)/(F34*1000))/299792458</f>
        <v>0.83550106867751051</v>
      </c>
      <c r="V34" s="20">
        <f t="shared" ref="V34:V65" si="25">F34/(3*1.476*E34)</f>
        <v>0.95545827253144322</v>
      </c>
      <c r="W34" s="20">
        <f t="shared" ref="W34:W65" si="26">(0.000000000066743*(E34*1.98847E+30))/(F34*1000*299792458^2)</f>
        <v>0.34903101788063107</v>
      </c>
      <c r="X34" s="24"/>
      <c r="Y34" s="20"/>
      <c r="Z34" s="238" t="str">
        <f t="shared" si="14"/>
        <v>Partial visible</v>
      </c>
      <c r="AA34" s="20" t="str">
        <f t="shared" ref="AA34:AA65" si="27">IF(V34&gt;2,"Fully visible",
IF(V34&gt;1,"Partial visible",
IF(ABS(V34-1)&lt;=0.05,"Collapse boundary",
IF(V34&gt;0.7,"Collapse transition",
"Invisible (Black hole)"))))</f>
        <v>Collapse boundary</v>
      </c>
      <c r="AB34" s="237" t="str">
        <f t="shared" si="13"/>
        <v>Partial visible</v>
      </c>
      <c r="AC34" s="197"/>
      <c r="AD34" s="197"/>
    </row>
    <row r="35" spans="1:30" x14ac:dyDescent="0.35">
      <c r="A35" s="34" t="s">
        <v>77</v>
      </c>
      <c r="B35" s="119"/>
      <c r="C35" s="119"/>
      <c r="D35" s="119"/>
      <c r="E35" s="150">
        <v>2.5</v>
      </c>
      <c r="F35" s="147">
        <v>10</v>
      </c>
      <c r="G35" s="155">
        <f t="shared" si="15"/>
        <v>0.25</v>
      </c>
      <c r="H35" s="21">
        <f t="shared" si="16"/>
        <v>0.36899999999999999</v>
      </c>
      <c r="I35" s="21">
        <f t="shared" si="17"/>
        <v>3.5950207149472704E+17</v>
      </c>
      <c r="J35" s="28">
        <v>0.1</v>
      </c>
      <c r="K35" s="19">
        <f t="shared" si="18"/>
        <v>0.4</v>
      </c>
      <c r="L35" s="22">
        <f t="shared" si="19"/>
        <v>0.26166515448328032</v>
      </c>
      <c r="M35" s="157">
        <f t="shared" si="20"/>
        <v>2.6166515448328032E-2</v>
      </c>
      <c r="N35" s="157">
        <f t="shared" si="21"/>
        <v>2.9400579155424753E-2</v>
      </c>
      <c r="O35" s="237">
        <f t="shared" si="22"/>
        <v>0.28089887640449435</v>
      </c>
      <c r="P35" s="237">
        <f t="shared" si="23"/>
        <v>-0.25149829724906958</v>
      </c>
      <c r="Q35" s="19"/>
      <c r="R35" s="20"/>
      <c r="S35" s="20"/>
      <c r="T35" s="20"/>
      <c r="U35" s="20">
        <f t="shared" si="24"/>
        <v>0.85926413023977644</v>
      </c>
      <c r="V35" s="20">
        <f t="shared" si="25"/>
        <v>0.90334236675700086</v>
      </c>
      <c r="W35" s="20">
        <f t="shared" si="26"/>
        <v>0.36916742275835984</v>
      </c>
      <c r="X35" s="24"/>
      <c r="Y35" s="20"/>
      <c r="Z35" s="238" t="str">
        <f t="shared" si="14"/>
        <v>Partial visible</v>
      </c>
      <c r="AA35" s="20" t="str">
        <f t="shared" si="27"/>
        <v>Collapse transition</v>
      </c>
      <c r="AB35" s="237" t="str">
        <f t="shared" si="13"/>
        <v>Partial visible</v>
      </c>
      <c r="AC35" s="197"/>
      <c r="AD35" s="197"/>
    </row>
    <row r="36" spans="1:30" x14ac:dyDescent="0.35">
      <c r="A36" s="167" t="s">
        <v>72</v>
      </c>
      <c r="B36" s="119"/>
      <c r="C36" s="119"/>
      <c r="D36" s="119"/>
      <c r="E36" s="150">
        <v>2.82</v>
      </c>
      <c r="F36" s="147">
        <v>14.2</v>
      </c>
      <c r="G36" s="157">
        <f t="shared" si="15"/>
        <v>0.19859154929577463</v>
      </c>
      <c r="H36" s="21">
        <f t="shared" si="16"/>
        <v>0.29312112676056334</v>
      </c>
      <c r="I36" s="21">
        <f t="shared" si="17"/>
        <v>4.5256466447031245E+17</v>
      </c>
      <c r="J36" s="28">
        <v>0.1</v>
      </c>
      <c r="K36" s="19">
        <f t="shared" si="18"/>
        <v>0.5035460992907802</v>
      </c>
      <c r="L36" s="22">
        <f t="shared" si="19"/>
        <v>0.41349175651911296</v>
      </c>
      <c r="M36" s="157">
        <f t="shared" si="20"/>
        <v>4.1349175651911298E-2</v>
      </c>
      <c r="N36" s="157">
        <f t="shared" si="21"/>
        <v>6.5972842051364083E-2</v>
      </c>
      <c r="O36" s="237">
        <f t="shared" si="22"/>
        <v>0.31685393258426964</v>
      </c>
      <c r="P36" s="237">
        <f t="shared" si="23"/>
        <v>-0.25088109053290553</v>
      </c>
      <c r="Q36" s="19"/>
      <c r="R36" s="20"/>
      <c r="S36" s="20"/>
      <c r="T36" s="20"/>
      <c r="U36" s="20">
        <f t="shared" si="24"/>
        <v>0.76583826195932969</v>
      </c>
      <c r="V36" s="20">
        <f t="shared" si="25"/>
        <v>1.1371863127614728</v>
      </c>
      <c r="W36" s="20">
        <f t="shared" si="26"/>
        <v>0.29325412174044346</v>
      </c>
      <c r="X36" s="24"/>
      <c r="Y36" s="20" t="s">
        <v>36</v>
      </c>
      <c r="Z36" s="238" t="str">
        <f t="shared" si="14"/>
        <v>Partial visible</v>
      </c>
      <c r="AA36" s="20" t="str">
        <f t="shared" si="27"/>
        <v>Partial visible</v>
      </c>
      <c r="AB36" s="237" t="str">
        <f t="shared" si="13"/>
        <v>Partial visible</v>
      </c>
      <c r="AC36" s="197"/>
      <c r="AD36" s="197"/>
    </row>
    <row r="37" spans="1:30" x14ac:dyDescent="0.35">
      <c r="A37" s="167" t="s">
        <v>74</v>
      </c>
      <c r="B37" s="119"/>
      <c r="C37" s="119"/>
      <c r="D37" s="119"/>
      <c r="E37" s="150">
        <v>3.4</v>
      </c>
      <c r="F37" s="147">
        <v>21.75</v>
      </c>
      <c r="G37" s="25">
        <f t="shared" si="15"/>
        <v>0.15632183908045977</v>
      </c>
      <c r="H37" s="21">
        <f t="shared" si="16"/>
        <v>0.23073103448275861</v>
      </c>
      <c r="I37" s="21">
        <f t="shared" si="17"/>
        <v>5.749389746331113E+17</v>
      </c>
      <c r="J37" s="28">
        <v>0.1</v>
      </c>
      <c r="K37" s="19">
        <f t="shared" si="18"/>
        <v>0.63970588235294124</v>
      </c>
      <c r="L37" s="22">
        <f t="shared" si="19"/>
        <v>0.53832855636655697</v>
      </c>
      <c r="M37" s="157">
        <f t="shared" si="20"/>
        <v>5.3832855636655699E-2</v>
      </c>
      <c r="N37" s="157">
        <f t="shared" si="21"/>
        <v>0.13155782135924285</v>
      </c>
      <c r="O37" s="237">
        <f t="shared" si="22"/>
        <v>0.38202247191011235</v>
      </c>
      <c r="P37" s="237">
        <f t="shared" si="23"/>
        <v>-0.25046465055086953</v>
      </c>
      <c r="Q37" s="19"/>
      <c r="R37" s="20"/>
      <c r="S37" s="20"/>
      <c r="T37" s="20"/>
      <c r="U37" s="20">
        <f t="shared" si="24"/>
        <v>0.67946408560971272</v>
      </c>
      <c r="V37" s="20">
        <f t="shared" si="25"/>
        <v>1.4446835644827036</v>
      </c>
      <c r="W37" s="20">
        <f t="shared" si="26"/>
        <v>0.23083572181672152</v>
      </c>
      <c r="X37" s="24"/>
      <c r="Y37" s="20" t="s">
        <v>36</v>
      </c>
      <c r="Z37" s="238" t="str">
        <f t="shared" si="14"/>
        <v>Fully visible</v>
      </c>
      <c r="AA37" s="20" t="str">
        <f t="shared" si="27"/>
        <v>Partial visible</v>
      </c>
      <c r="AB37" s="237" t="str">
        <f t="shared" si="13"/>
        <v>Partial visible</v>
      </c>
      <c r="AC37" s="197"/>
      <c r="AD37" s="197"/>
    </row>
    <row r="38" spans="1:30" x14ac:dyDescent="0.35">
      <c r="A38" s="167" t="s">
        <v>74</v>
      </c>
      <c r="B38" s="119"/>
      <c r="C38" s="119"/>
      <c r="D38" s="119"/>
      <c r="E38" s="150">
        <v>2.8</v>
      </c>
      <c r="F38" s="147">
        <v>14</v>
      </c>
      <c r="G38" s="25">
        <f t="shared" si="15"/>
        <v>0.19999999999999998</v>
      </c>
      <c r="H38" s="21">
        <f t="shared" si="16"/>
        <v>0.29519999999999996</v>
      </c>
      <c r="I38" s="21">
        <f t="shared" si="17"/>
        <v>4.4937758936840883E+17</v>
      </c>
      <c r="J38" s="28">
        <v>0.1</v>
      </c>
      <c r="K38" s="19">
        <f t="shared" si="18"/>
        <v>0.50000000000000011</v>
      </c>
      <c r="L38" s="22">
        <f t="shared" si="19"/>
        <v>0.40933212358662441</v>
      </c>
      <c r="M38" s="157">
        <f t="shared" si="20"/>
        <v>4.0933212358662444E-2</v>
      </c>
      <c r="N38" s="157">
        <f t="shared" si="21"/>
        <v>6.4389322811379129E-2</v>
      </c>
      <c r="O38" s="237">
        <f t="shared" si="22"/>
        <v>0.3146067415730337</v>
      </c>
      <c r="P38" s="237">
        <f t="shared" si="23"/>
        <v>-0.2502174187616546</v>
      </c>
      <c r="Q38" s="19"/>
      <c r="R38" s="20"/>
      <c r="S38" s="20"/>
      <c r="T38" s="20"/>
      <c r="U38" s="20">
        <f t="shared" si="24"/>
        <v>0.76854920233734914</v>
      </c>
      <c r="V38" s="20">
        <f t="shared" si="25"/>
        <v>1.1291779584462514</v>
      </c>
      <c r="W38" s="20">
        <f t="shared" si="26"/>
        <v>0.2953339382066878</v>
      </c>
      <c r="X38" s="24"/>
      <c r="Y38" s="20" t="s">
        <v>36</v>
      </c>
      <c r="Z38" s="238" t="str">
        <f t="shared" si="14"/>
        <v>Partial visible</v>
      </c>
      <c r="AA38" s="20" t="str">
        <f t="shared" si="27"/>
        <v>Partial visible</v>
      </c>
      <c r="AB38" s="237" t="str">
        <f t="shared" si="13"/>
        <v>Partial visible</v>
      </c>
      <c r="AC38" s="197"/>
      <c r="AD38" s="197"/>
    </row>
    <row r="39" spans="1:30" ht="15" thickBot="1" x14ac:dyDescent="0.4">
      <c r="A39" s="170" t="s">
        <v>74</v>
      </c>
      <c r="B39" s="122"/>
      <c r="C39" s="122"/>
      <c r="D39" s="122"/>
      <c r="E39" s="151">
        <v>3</v>
      </c>
      <c r="F39" s="153">
        <v>16.600000000000001</v>
      </c>
      <c r="G39" s="53">
        <f t="shared" si="15"/>
        <v>0.18072289156626503</v>
      </c>
      <c r="H39" s="32">
        <f t="shared" si="16"/>
        <v>0.26674698795180718</v>
      </c>
      <c r="I39" s="32">
        <f t="shared" si="17"/>
        <v>4.9731119890103917E+17</v>
      </c>
      <c r="J39" s="182">
        <v>0.1</v>
      </c>
      <c r="K39" s="49">
        <f t="shared" si="18"/>
        <v>0.55333333333333345</v>
      </c>
      <c r="L39" s="33">
        <f t="shared" si="19"/>
        <v>0.46626396709634732</v>
      </c>
      <c r="M39" s="158">
        <f t="shared" si="20"/>
        <v>4.6626396709634733E-2</v>
      </c>
      <c r="N39" s="158">
        <f t="shared" si="21"/>
        <v>8.6966088244936693E-2</v>
      </c>
      <c r="O39" s="239">
        <f t="shared" si="22"/>
        <v>0.33707865168539325</v>
      </c>
      <c r="P39" s="239">
        <f t="shared" si="23"/>
        <v>-0.25011256344045657</v>
      </c>
      <c r="Q39" s="49"/>
      <c r="R39" s="50"/>
      <c r="S39" s="50"/>
      <c r="T39" s="50"/>
      <c r="U39" s="50">
        <f t="shared" si="24"/>
        <v>0.73057240086363284</v>
      </c>
      <c r="V39" s="50">
        <f t="shared" si="25"/>
        <v>1.2496236073471847</v>
      </c>
      <c r="W39" s="50">
        <f t="shared" si="26"/>
        <v>0.26686801645182634</v>
      </c>
      <c r="X39" s="52"/>
      <c r="Y39" s="50" t="s">
        <v>36</v>
      </c>
      <c r="Z39" s="240" t="str">
        <f t="shared" si="14"/>
        <v>Partial visible</v>
      </c>
      <c r="AA39" s="50" t="str">
        <f t="shared" si="27"/>
        <v>Partial visible</v>
      </c>
      <c r="AB39" s="239" t="str">
        <f t="shared" si="13"/>
        <v>Partial visible</v>
      </c>
      <c r="AC39" s="199"/>
      <c r="AD39" s="199"/>
    </row>
    <row r="40" spans="1:30" x14ac:dyDescent="0.35">
      <c r="A40" s="133" t="s">
        <v>77</v>
      </c>
      <c r="B40" s="116"/>
      <c r="C40" s="116"/>
      <c r="D40" s="116"/>
      <c r="E40" s="149">
        <v>2.4</v>
      </c>
      <c r="F40" s="152">
        <v>9</v>
      </c>
      <c r="G40" s="126">
        <f t="shared" si="15"/>
        <v>0.26666666666666666</v>
      </c>
      <c r="H40" s="12">
        <f t="shared" si="16"/>
        <v>0.39360000000000001</v>
      </c>
      <c r="I40" s="12">
        <f t="shared" si="17"/>
        <v>3.3703319202630662E+17</v>
      </c>
      <c r="J40" s="152">
        <v>0.1</v>
      </c>
      <c r="K40" s="11">
        <f t="shared" si="18"/>
        <v>0.375</v>
      </c>
      <c r="L40" s="154">
        <f t="shared" si="19"/>
        <v>0.21244283144883258</v>
      </c>
      <c r="M40" s="154">
        <f t="shared" si="20"/>
        <v>2.1244283144883261E-2</v>
      </c>
      <c r="N40" s="154">
        <f t="shared" si="21"/>
        <v>2.1482982955499923E-2</v>
      </c>
      <c r="O40" s="241">
        <f t="shared" si="22"/>
        <v>0.2696629213483146</v>
      </c>
      <c r="P40" s="241">
        <f t="shared" si="23"/>
        <v>-0.24817993839281469</v>
      </c>
      <c r="Q40" s="11"/>
      <c r="R40" s="11"/>
      <c r="S40" s="11"/>
      <c r="T40" s="11"/>
      <c r="U40" s="11">
        <f t="shared" si="24"/>
        <v>0.88744417770988138</v>
      </c>
      <c r="V40" s="11">
        <f t="shared" si="25"/>
        <v>0.84688346883468835</v>
      </c>
      <c r="W40" s="11">
        <f t="shared" si="26"/>
        <v>0.39377858427558382</v>
      </c>
      <c r="X40" s="11"/>
      <c r="Y40" s="9"/>
      <c r="Z40" s="238" t="str">
        <f t="shared" si="14"/>
        <v>Partial visible</v>
      </c>
      <c r="AA40" s="20" t="str">
        <f t="shared" si="27"/>
        <v>Collapse transition</v>
      </c>
      <c r="AB40" s="241" t="str">
        <f t="shared" si="13"/>
        <v>Partial visible</v>
      </c>
    </row>
    <row r="41" spans="1:30" x14ac:dyDescent="0.35">
      <c r="A41" s="134" t="s">
        <v>77</v>
      </c>
      <c r="B41" s="119"/>
      <c r="C41" s="119"/>
      <c r="D41" s="119"/>
      <c r="E41" s="150">
        <v>2.5</v>
      </c>
      <c r="F41" s="147">
        <v>11</v>
      </c>
      <c r="G41" s="120">
        <f t="shared" si="15"/>
        <v>0.22727272727272727</v>
      </c>
      <c r="H41" s="21">
        <f t="shared" si="16"/>
        <v>0.33545454545454545</v>
      </c>
      <c r="I41" s="21">
        <f t="shared" si="17"/>
        <v>3.9545227864419974E+17</v>
      </c>
      <c r="J41" s="147">
        <v>0.1</v>
      </c>
      <c r="K41" s="19">
        <f t="shared" si="18"/>
        <v>0.44000000000000006</v>
      </c>
      <c r="L41" s="157">
        <f t="shared" si="19"/>
        <v>0.32878650407570953</v>
      </c>
      <c r="M41" s="157">
        <f t="shared" si="20"/>
        <v>3.2878650407570952E-2</v>
      </c>
      <c r="N41" s="157">
        <f t="shared" si="21"/>
        <v>4.0636534211604541E-2</v>
      </c>
      <c r="O41" s="237">
        <f t="shared" si="22"/>
        <v>0.28089887640449435</v>
      </c>
      <c r="P41" s="237">
        <f t="shared" si="23"/>
        <v>-0.24026234219288981</v>
      </c>
      <c r="Q41" s="19"/>
      <c r="R41" s="19"/>
      <c r="S41" s="19"/>
      <c r="T41" s="19"/>
      <c r="U41" s="19">
        <f t="shared" si="24"/>
        <v>0.81927620246427924</v>
      </c>
      <c r="V41" s="19">
        <f t="shared" si="25"/>
        <v>0.99367660343270092</v>
      </c>
      <c r="W41" s="19">
        <f t="shared" si="26"/>
        <v>0.33560674796214524</v>
      </c>
      <c r="X41" s="19"/>
      <c r="Y41" s="20"/>
      <c r="Z41" s="238" t="str">
        <f t="shared" si="14"/>
        <v>Partial visible</v>
      </c>
      <c r="AA41" s="20" t="str">
        <f t="shared" si="27"/>
        <v>Collapse boundary</v>
      </c>
      <c r="AB41" s="237" t="str">
        <f t="shared" si="13"/>
        <v>Partial visible</v>
      </c>
    </row>
    <row r="42" spans="1:30" x14ac:dyDescent="0.35">
      <c r="A42" s="134" t="s">
        <v>77</v>
      </c>
      <c r="B42" s="119"/>
      <c r="C42" s="119"/>
      <c r="D42" s="119"/>
      <c r="E42" s="150">
        <v>2.4</v>
      </c>
      <c r="F42" s="147">
        <v>10</v>
      </c>
      <c r="G42" s="120">
        <f t="shared" si="15"/>
        <v>0.24</v>
      </c>
      <c r="H42" s="21">
        <f t="shared" si="16"/>
        <v>0.35424</v>
      </c>
      <c r="I42" s="21">
        <f t="shared" si="17"/>
        <v>3.7448132447367398E+17</v>
      </c>
      <c r="J42" s="147">
        <v>0.1</v>
      </c>
      <c r="K42" s="19">
        <f t="shared" si="18"/>
        <v>0.41666666666666669</v>
      </c>
      <c r="L42" s="157">
        <f t="shared" si="19"/>
        <v>0.29119854830394931</v>
      </c>
      <c r="M42" s="157">
        <f t="shared" si="20"/>
        <v>2.9119854830394934E-2</v>
      </c>
      <c r="N42" s="157">
        <f t="shared" si="21"/>
        <v>3.2718938011679695E-2</v>
      </c>
      <c r="O42" s="237">
        <f t="shared" si="22"/>
        <v>0.2696629213483146</v>
      </c>
      <c r="P42" s="237">
        <f t="shared" si="23"/>
        <v>-0.23694398333663491</v>
      </c>
      <c r="Q42" s="19"/>
      <c r="R42" s="19"/>
      <c r="S42" s="19"/>
      <c r="T42" s="19"/>
      <c r="U42" s="19">
        <f t="shared" si="24"/>
        <v>0.8419034693455365</v>
      </c>
      <c r="V42" s="19">
        <f t="shared" si="25"/>
        <v>0.94098163203854257</v>
      </c>
      <c r="W42" s="19">
        <f t="shared" si="26"/>
        <v>0.35440072584802546</v>
      </c>
      <c r="X42" s="19"/>
      <c r="Y42" s="20"/>
      <c r="Z42" s="238" t="str">
        <f t="shared" si="14"/>
        <v>Partial visible</v>
      </c>
      <c r="AA42" s="20" t="str">
        <f t="shared" si="27"/>
        <v>Collapse transition</v>
      </c>
      <c r="AB42" s="237" t="str">
        <f t="shared" si="13"/>
        <v>Partial visible</v>
      </c>
    </row>
    <row r="43" spans="1:30" x14ac:dyDescent="0.35">
      <c r="A43" s="169" t="s">
        <v>35</v>
      </c>
      <c r="B43" s="42">
        <v>2.7</v>
      </c>
      <c r="C43" s="42">
        <v>3.2</v>
      </c>
      <c r="D43" s="43">
        <v>3</v>
      </c>
      <c r="E43" s="44">
        <v>3</v>
      </c>
      <c r="F43" s="144">
        <v>18</v>
      </c>
      <c r="G43" s="43">
        <f t="shared" si="15"/>
        <v>0.16666666666666666</v>
      </c>
      <c r="H43" s="43">
        <f t="shared" si="16"/>
        <v>0.246</v>
      </c>
      <c r="I43" s="43">
        <f t="shared" si="17"/>
        <v>5.392543360953385E+17</v>
      </c>
      <c r="J43" s="164">
        <v>0.1</v>
      </c>
      <c r="K43" s="43">
        <f t="shared" si="18"/>
        <v>0.60000000000000009</v>
      </c>
      <c r="L43" s="160">
        <f t="shared" si="19"/>
        <v>0.50777676965552021</v>
      </c>
      <c r="M43" s="160">
        <f t="shared" si="20"/>
        <v>5.0777676965552021E-2</v>
      </c>
      <c r="N43" s="160">
        <f t="shared" si="21"/>
        <v>0.10269642532358836</v>
      </c>
      <c r="O43" s="164">
        <f t="shared" si="22"/>
        <v>0.33707865168539325</v>
      </c>
      <c r="P43" s="164">
        <f t="shared" si="23"/>
        <v>-0.23438222636180489</v>
      </c>
      <c r="Q43" s="43">
        <f>'[1]Mass Min'!M9</f>
        <v>-0.19071928462450083</v>
      </c>
      <c r="R43" s="43">
        <f>'[1]Mass Max'!M9</f>
        <v>-0.26349085418667428</v>
      </c>
      <c r="S43" s="43">
        <f>0.000000000066743*(E43*1.98847E+30)/((F43*1000)^2)</f>
        <v>1228856048240.7405</v>
      </c>
      <c r="T43" s="43">
        <f>(F43*1000)/S43</f>
        <v>1.4647769383378328E-8</v>
      </c>
      <c r="U43" s="43">
        <f t="shared" si="24"/>
        <v>0.70158622445461372</v>
      </c>
      <c r="V43" s="43">
        <f t="shared" si="25"/>
        <v>1.3550135501355014</v>
      </c>
      <c r="W43" s="43">
        <f t="shared" si="26"/>
        <v>0.24611161517223987</v>
      </c>
      <c r="X43" s="43">
        <f>LOG10(S43)</f>
        <v>12.089501011351627</v>
      </c>
      <c r="Y43" s="44" t="s">
        <v>36</v>
      </c>
      <c r="Z43" s="20" t="str">
        <f>IF(W43&lt;0.25,"Fully visible",
IF(W43&lt;0.3,"Partial visible",
IF(W43&lt;0.32,"Collapse boundary",
"Invisible (Black hole)")))</f>
        <v>Fully visible</v>
      </c>
      <c r="AA43" s="20" t="str">
        <f t="shared" si="27"/>
        <v>Partial visible</v>
      </c>
      <c r="AB43" s="164" t="str">
        <f t="shared" si="13"/>
        <v>Partial visible</v>
      </c>
      <c r="AC43" s="200">
        <f>E43*1.788E+47</f>
        <v>5.3639999999999998E+47</v>
      </c>
      <c r="AD43" s="200">
        <f>0.000000000066743*(E43*1.98847E+30)^2/(F43*1000)</f>
        <v>1.3195134285724431E+47</v>
      </c>
    </row>
    <row r="44" spans="1:30" ht="15" thickBot="1" x14ac:dyDescent="0.4">
      <c r="A44" s="137" t="s">
        <v>77</v>
      </c>
      <c r="B44" s="122"/>
      <c r="C44" s="122"/>
      <c r="D44" s="122"/>
      <c r="E44" s="151">
        <v>2.4</v>
      </c>
      <c r="F44" s="153">
        <v>11</v>
      </c>
      <c r="G44" s="123">
        <f t="shared" si="15"/>
        <v>0.21818181818181817</v>
      </c>
      <c r="H44" s="32">
        <f t="shared" si="16"/>
        <v>0.32203636363636362</v>
      </c>
      <c r="I44" s="32">
        <f t="shared" si="17"/>
        <v>4.1192945692104141E+17</v>
      </c>
      <c r="J44" s="153">
        <v>0.1</v>
      </c>
      <c r="K44" s="49">
        <f t="shared" si="18"/>
        <v>0.45833333333333337</v>
      </c>
      <c r="L44" s="158">
        <f t="shared" si="19"/>
        <v>0.35563504391268119</v>
      </c>
      <c r="M44" s="158">
        <f t="shared" si="20"/>
        <v>3.5563504391268118E-2</v>
      </c>
      <c r="N44" s="158">
        <f t="shared" si="21"/>
        <v>4.395489306785947E-2</v>
      </c>
      <c r="O44" s="239">
        <f t="shared" si="22"/>
        <v>0.2696629213483146</v>
      </c>
      <c r="P44" s="239">
        <f t="shared" si="23"/>
        <v>-0.22570802828045514</v>
      </c>
      <c r="Q44" s="49"/>
      <c r="R44" s="49"/>
      <c r="S44" s="49"/>
      <c r="T44" s="49"/>
      <c r="U44" s="49">
        <f t="shared" si="24"/>
        <v>0.80272346177704235</v>
      </c>
      <c r="V44" s="49">
        <f t="shared" si="25"/>
        <v>1.0350797952423969</v>
      </c>
      <c r="W44" s="49">
        <f t="shared" si="26"/>
        <v>0.32218247804365946</v>
      </c>
      <c r="X44" s="49"/>
      <c r="Y44" s="50"/>
      <c r="Z44" s="240" t="str">
        <f>IF(W44&lt;0.25,"Fully visible",
IF(W44&lt;0.45,"Partial visible",
IF(W44&lt;0.48,"Collapse transition",
"Invisible (Black hole)")))</f>
        <v>Partial visible</v>
      </c>
      <c r="AA44" s="20" t="str">
        <f t="shared" si="27"/>
        <v>Partial visible</v>
      </c>
      <c r="AB44" s="239" t="str">
        <f t="shared" si="13"/>
        <v>Partial visible</v>
      </c>
    </row>
    <row r="45" spans="1:30" x14ac:dyDescent="0.35">
      <c r="A45" s="133" t="s">
        <v>77</v>
      </c>
      <c r="B45" s="129"/>
      <c r="C45" s="129"/>
      <c r="D45" s="129"/>
      <c r="E45" s="115">
        <v>2</v>
      </c>
      <c r="F45" s="145">
        <v>12.6</v>
      </c>
      <c r="G45" s="12">
        <f t="shared" si="15"/>
        <v>0.15873015873015872</v>
      </c>
      <c r="H45" s="12">
        <f t="shared" si="16"/>
        <v>0.23428571428571426</v>
      </c>
      <c r="I45" s="12">
        <f t="shared" si="17"/>
        <v>5.6621576260419514E+17</v>
      </c>
      <c r="J45" s="145">
        <v>0</v>
      </c>
      <c r="K45" s="12">
        <f t="shared" si="18"/>
        <v>0</v>
      </c>
      <c r="L45" s="154">
        <f t="shared" si="19"/>
        <v>0.53121597110049557</v>
      </c>
      <c r="M45" s="154">
        <f t="shared" si="20"/>
        <v>0</v>
      </c>
      <c r="N45" s="154">
        <f t="shared" si="21"/>
        <v>0</v>
      </c>
      <c r="O45" s="242">
        <f t="shared" si="22"/>
        <v>0.2247191011235955</v>
      </c>
      <c r="P45" s="242">
        <f t="shared" si="23"/>
        <v>-0.2247191011235955</v>
      </c>
      <c r="Q45" s="243"/>
      <c r="R45" s="243"/>
      <c r="S45" s="243"/>
      <c r="T45" s="243"/>
      <c r="U45" s="11">
        <f t="shared" si="24"/>
        <v>0.68467804762494344</v>
      </c>
      <c r="V45" s="11">
        <f t="shared" si="25"/>
        <v>1.4227642276422765</v>
      </c>
      <c r="W45" s="11">
        <f t="shared" si="26"/>
        <v>0.23439201444975225</v>
      </c>
      <c r="X45" s="243"/>
      <c r="Y45" s="9"/>
      <c r="Z45" s="244" t="str">
        <f>IF(W45&lt;0.25,"Fully visible",
IF(W45&lt;0.45,"Partial visible",
IF(W45&lt;0.48,"Collapse transition",
"Invisible (Black hole)")))</f>
        <v>Fully visible</v>
      </c>
      <c r="AA45" s="20" t="str">
        <f t="shared" si="27"/>
        <v>Partial visible</v>
      </c>
      <c r="AB45" s="242" t="str">
        <f t="shared" si="13"/>
        <v>Partial visible</v>
      </c>
    </row>
    <row r="46" spans="1:30" x14ac:dyDescent="0.35">
      <c r="A46" s="134" t="s">
        <v>77</v>
      </c>
      <c r="B46" s="125"/>
      <c r="C46" s="125"/>
      <c r="D46" s="125"/>
      <c r="E46" s="1">
        <v>3</v>
      </c>
      <c r="F46" s="146">
        <v>14.4</v>
      </c>
      <c r="G46" s="21">
        <f t="shared" si="15"/>
        <v>0.20833333333333331</v>
      </c>
      <c r="H46" s="21">
        <f t="shared" si="16"/>
        <v>0.3075</v>
      </c>
      <c r="I46" s="21">
        <f t="shared" si="17"/>
        <v>4.3140248579367251E+17</v>
      </c>
      <c r="J46" s="146">
        <v>0.2</v>
      </c>
      <c r="K46" s="21">
        <f t="shared" si="18"/>
        <v>0.96000000000000019</v>
      </c>
      <c r="L46" s="157">
        <f t="shared" si="19"/>
        <v>0.38472096206940043</v>
      </c>
      <c r="M46" s="157">
        <f t="shared" si="20"/>
        <v>7.6944192413880091E-2</v>
      </c>
      <c r="N46" s="157">
        <f t="shared" si="21"/>
        <v>0.12449397424268241</v>
      </c>
      <c r="O46" s="245">
        <f t="shared" si="22"/>
        <v>0.33707865168539325</v>
      </c>
      <c r="P46" s="245">
        <f t="shared" si="23"/>
        <v>-0.21258467744271084</v>
      </c>
      <c r="Q46" s="246"/>
      <c r="R46" s="246"/>
      <c r="S46" s="246"/>
      <c r="T46" s="246"/>
      <c r="U46" s="19">
        <f t="shared" si="24"/>
        <v>0.78439724497897079</v>
      </c>
      <c r="V46" s="19">
        <f t="shared" si="25"/>
        <v>1.0840108401084012</v>
      </c>
      <c r="W46" s="19">
        <f t="shared" si="26"/>
        <v>0.30763951896529979</v>
      </c>
      <c r="X46" s="246"/>
      <c r="Y46" s="20"/>
      <c r="Z46" s="238" t="str">
        <f>IF(W46&lt;0.25,"Fully visible",
IF(W46&lt;0.45,"Partial visible",
IF(W46&lt;0.48,"Collapse transition",
"Invisible (Black hole)")))</f>
        <v>Partial visible</v>
      </c>
      <c r="AA46" s="20" t="str">
        <f t="shared" si="27"/>
        <v>Partial visible</v>
      </c>
      <c r="AB46" s="245" t="str">
        <f t="shared" si="13"/>
        <v>Partial visible</v>
      </c>
    </row>
    <row r="47" spans="1:30" ht="15" thickBot="1" x14ac:dyDescent="0.4">
      <c r="A47" s="137" t="s">
        <v>37</v>
      </c>
      <c r="B47" s="39">
        <v>2.1800000000000002</v>
      </c>
      <c r="C47" s="39">
        <v>2.52</v>
      </c>
      <c r="D47" s="40">
        <v>2.35</v>
      </c>
      <c r="E47" s="46">
        <v>2.35</v>
      </c>
      <c r="F47" s="148">
        <v>12.244999999999999</v>
      </c>
      <c r="G47" s="179">
        <f t="shared" si="15"/>
        <v>0.19191506737443856</v>
      </c>
      <c r="H47" s="49">
        <f t="shared" si="16"/>
        <v>0.28326663944467129</v>
      </c>
      <c r="I47" s="49">
        <f t="shared" si="17"/>
        <v>4.6831089552058688E+17</v>
      </c>
      <c r="J47" s="53">
        <v>0.1</v>
      </c>
      <c r="K47" s="49">
        <f t="shared" si="18"/>
        <v>0.52106382978723409</v>
      </c>
      <c r="L47" s="158">
        <f t="shared" si="19"/>
        <v>0.43320967351105233</v>
      </c>
      <c r="M47" s="158">
        <f t="shared" si="20"/>
        <v>4.3320967351105237E-2</v>
      </c>
      <c r="N47" s="158">
        <f t="shared" si="21"/>
        <v>5.9602836540930744E-2</v>
      </c>
      <c r="O47" s="53">
        <f t="shared" si="22"/>
        <v>0.2640449438202247</v>
      </c>
      <c r="P47" s="48">
        <f t="shared" si="23"/>
        <v>-0.20444210727929396</v>
      </c>
      <c r="Q47" s="49">
        <f>'[1]Mass Min'!M10</f>
        <v>-0.18245258261691905</v>
      </c>
      <c r="R47" s="49">
        <f>'[1]Mass Max'!M10</f>
        <v>-0.23193724991919701</v>
      </c>
      <c r="S47" s="49">
        <f>0.000000000066743*(E47*1.98847E+30)/((F47*1000)^2)</f>
        <v>2080056109391.0713</v>
      </c>
      <c r="T47" s="49">
        <f>(F47*1000)/S47</f>
        <v>5.8868604287721254E-9</v>
      </c>
      <c r="U47" s="49">
        <f t="shared" si="24"/>
        <v>0.75285478446307796</v>
      </c>
      <c r="V47" s="49">
        <f t="shared" si="25"/>
        <v>1.1767475830786676</v>
      </c>
      <c r="W47" s="49">
        <f t="shared" si="26"/>
        <v>0.28339516324447384</v>
      </c>
      <c r="X47" s="49">
        <f>LOG10(S47)</f>
        <v>12.318075050188847</v>
      </c>
      <c r="Y47" s="50" t="s">
        <v>36</v>
      </c>
      <c r="Z47" s="50" t="str">
        <f>IF(W47&lt;0.25,"Fully visible",
IF(W47&lt;0.3,"Partial visible",
IF(W47&lt;0.32,"Collapse boundary",
"Invisible (Black hole)")))</f>
        <v>Partial visible</v>
      </c>
      <c r="AA47" s="20" t="str">
        <f t="shared" si="27"/>
        <v>Partial visible</v>
      </c>
      <c r="AB47" s="48" t="str">
        <f t="shared" si="13"/>
        <v>Partial visible</v>
      </c>
      <c r="AC47" s="200">
        <f>E47*1.788E+47</f>
        <v>4.2017999999999999E+47</v>
      </c>
      <c r="AD47" s="200">
        <f>0.000000000066743*(E47*1.98847E+30)^2/(F47*1000)</f>
        <v>1.1902021901659976E+47</v>
      </c>
    </row>
    <row r="48" spans="1:30" x14ac:dyDescent="0.35">
      <c r="A48" s="133" t="s">
        <v>38</v>
      </c>
      <c r="B48" s="8">
        <v>2.0099999999999998</v>
      </c>
      <c r="C48" s="8">
        <v>2.15</v>
      </c>
      <c r="D48" s="29">
        <v>2.08</v>
      </c>
      <c r="E48" s="114">
        <v>2.08</v>
      </c>
      <c r="F48" s="145">
        <v>12.39</v>
      </c>
      <c r="G48" s="178">
        <f t="shared" si="15"/>
        <v>0.1678773204196933</v>
      </c>
      <c r="H48" s="11">
        <f t="shared" si="16"/>
        <v>0.2477869249394673</v>
      </c>
      <c r="I48" s="11">
        <f t="shared" si="17"/>
        <v>5.3536606094370637E+17</v>
      </c>
      <c r="J48" s="16">
        <v>0.1</v>
      </c>
      <c r="K48" s="11">
        <f t="shared" si="18"/>
        <v>0.59567307692307692</v>
      </c>
      <c r="L48" s="154">
        <f t="shared" si="19"/>
        <v>0.50420129824865956</v>
      </c>
      <c r="M48" s="154">
        <f t="shared" si="20"/>
        <v>5.0420129824865961E-2</v>
      </c>
      <c r="N48" s="154">
        <f t="shared" si="21"/>
        <v>7.0191618935965081E-2</v>
      </c>
      <c r="O48" s="16">
        <f t="shared" si="22"/>
        <v>0.23370786516853934</v>
      </c>
      <c r="P48" s="10">
        <f t="shared" si="23"/>
        <v>-0.16351624623257427</v>
      </c>
      <c r="Q48" s="11">
        <f>'[1]Mass Min'!M11</f>
        <v>-0.1533282264938699</v>
      </c>
      <c r="R48" s="11">
        <f>'[1]Mass Max'!M11</f>
        <v>-0.1737042659712785</v>
      </c>
      <c r="S48" s="11">
        <f>0.000000000066743*(E48*1.98847E+30)/((F48*1000)^2)</f>
        <v>1798231036360.0005</v>
      </c>
      <c r="T48" s="11">
        <f>(F48*1000)/S48</f>
        <v>6.8901046358759203E-9</v>
      </c>
      <c r="U48" s="11">
        <f t="shared" si="24"/>
        <v>0.70412974781026005</v>
      </c>
      <c r="V48" s="11">
        <f t="shared" si="25"/>
        <v>1.3452418178027934</v>
      </c>
      <c r="W48" s="11">
        <f t="shared" si="26"/>
        <v>0.24789935087567022</v>
      </c>
      <c r="X48" s="11">
        <f>LOG10(S48)</f>
        <v>12.254845489049211</v>
      </c>
      <c r="Y48" s="9" t="s">
        <v>36</v>
      </c>
      <c r="Z48" s="9" t="str">
        <f>IF(W48&lt;0.25,"Fully visible",
IF(W48&lt;0.3,"Partial visible",
IF(W48&lt;0.32,"Collapse boundary",
"Invisible (Black hole)")))</f>
        <v>Fully visible</v>
      </c>
      <c r="AA48" s="20" t="str">
        <f t="shared" si="27"/>
        <v>Partial visible</v>
      </c>
      <c r="AB48" s="10" t="str">
        <f t="shared" si="13"/>
        <v>Partial visible</v>
      </c>
      <c r="AC48" s="200">
        <f>E48*1.788E+47</f>
        <v>3.7190400000000003E+47</v>
      </c>
      <c r="AD48" s="200">
        <f>0.000000000066743*(E48*1.98847E+30)^2/(F48*1000)</f>
        <v>9.2150813516962388E+46</v>
      </c>
    </row>
    <row r="49" spans="1:30" x14ac:dyDescent="0.35">
      <c r="A49" s="134" t="s">
        <v>77</v>
      </c>
      <c r="B49" s="125"/>
      <c r="C49" s="125"/>
      <c r="D49" s="125"/>
      <c r="E49" s="1">
        <v>2</v>
      </c>
      <c r="F49" s="146">
        <v>12.6</v>
      </c>
      <c r="G49" s="21">
        <f t="shared" si="15"/>
        <v>0.15873015873015872</v>
      </c>
      <c r="H49" s="21">
        <f t="shared" si="16"/>
        <v>0.23428571428571426</v>
      </c>
      <c r="I49" s="21">
        <f t="shared" si="17"/>
        <v>5.6621576260419514E+17</v>
      </c>
      <c r="J49" s="146">
        <v>0.1</v>
      </c>
      <c r="K49" s="21">
        <f t="shared" si="18"/>
        <v>0.63000000000000012</v>
      </c>
      <c r="L49" s="157">
        <f t="shared" si="19"/>
        <v>0.53121597110049557</v>
      </c>
      <c r="M49" s="157">
        <f t="shared" si="20"/>
        <v>5.3121597110049559E-2</v>
      </c>
      <c r="N49" s="157">
        <f t="shared" si="21"/>
        <v>7.5205856582766781E-2</v>
      </c>
      <c r="O49" s="245">
        <f t="shared" si="22"/>
        <v>0.2247191011235955</v>
      </c>
      <c r="P49" s="245">
        <f t="shared" si="23"/>
        <v>-0.1495132445408287</v>
      </c>
      <c r="Q49" s="246"/>
      <c r="R49" s="246"/>
      <c r="S49" s="246"/>
      <c r="T49" s="246"/>
      <c r="U49" s="19">
        <f t="shared" si="24"/>
        <v>0.68467804762494344</v>
      </c>
      <c r="V49" s="19">
        <f t="shared" si="25"/>
        <v>1.4227642276422765</v>
      </c>
      <c r="W49" s="19">
        <f t="shared" si="26"/>
        <v>0.23439201444975225</v>
      </c>
      <c r="X49" s="246"/>
      <c r="Y49" s="20"/>
      <c r="Z49" s="238" t="str">
        <f>IF(W49&lt;0.25,"Fully visible",
IF(W49&lt;0.45,"Partial visible",
IF(W49&lt;0.48,"Collapse transition",
"Invisible (Black hole)")))</f>
        <v>Fully visible</v>
      </c>
      <c r="AA49" s="20" t="str">
        <f t="shared" si="27"/>
        <v>Partial visible</v>
      </c>
      <c r="AB49" s="245" t="str">
        <f t="shared" si="13"/>
        <v>Partial visible</v>
      </c>
    </row>
    <row r="50" spans="1:30" ht="15" thickBot="1" x14ac:dyDescent="0.4">
      <c r="A50" s="137" t="s">
        <v>39</v>
      </c>
      <c r="B50" s="39">
        <v>1.2</v>
      </c>
      <c r="C50" s="39">
        <v>1.6</v>
      </c>
      <c r="D50" s="40">
        <v>1.4</v>
      </c>
      <c r="E50" s="46">
        <v>1.4</v>
      </c>
      <c r="F50" s="148">
        <v>5</v>
      </c>
      <c r="G50" s="179">
        <f t="shared" si="15"/>
        <v>0.27999999999999997</v>
      </c>
      <c r="H50" s="49">
        <f t="shared" si="16"/>
        <v>0.41327999999999993</v>
      </c>
      <c r="I50" s="49">
        <f t="shared" si="17"/>
        <v>3.2099142435530938E+17</v>
      </c>
      <c r="J50" s="53">
        <v>0.1</v>
      </c>
      <c r="K50" s="49">
        <f t="shared" si="18"/>
        <v>0.35714285714285721</v>
      </c>
      <c r="L50" s="158">
        <f t="shared" si="19"/>
        <v>0.17306497302127399</v>
      </c>
      <c r="M50" s="158">
        <f t="shared" si="20"/>
        <v>1.73064973021274E-2</v>
      </c>
      <c r="N50" s="158">
        <f t="shared" si="21"/>
        <v>9.7227512933299991E-3</v>
      </c>
      <c r="O50" s="53">
        <f t="shared" si="22"/>
        <v>0.15730337078651685</v>
      </c>
      <c r="P50" s="48">
        <f t="shared" si="23"/>
        <v>-0.14758061949318685</v>
      </c>
      <c r="Q50" s="49">
        <f>'[1]Mass Min'!M13</f>
        <v>-0.11847199166831746</v>
      </c>
      <c r="R50" s="49">
        <f>'[1]Mass Max'!M13</f>
        <v>-0.17668924731805624</v>
      </c>
      <c r="S50" s="49">
        <f t="shared" ref="S50:S55" si="28">0.000000000066743*(E50*1.98847E+30)/((F50*1000)^2)</f>
        <v>7432121379759.999</v>
      </c>
      <c r="T50" s="49">
        <f t="shared" ref="T50:T55" si="29">(F50*1000)/S50</f>
        <v>6.7275542802847257E-10</v>
      </c>
      <c r="U50" s="49">
        <f t="shared" si="24"/>
        <v>0.90935967965306552</v>
      </c>
      <c r="V50" s="49">
        <f t="shared" si="25"/>
        <v>0.80655568460446514</v>
      </c>
      <c r="W50" s="49">
        <f t="shared" si="26"/>
        <v>0.413467513489363</v>
      </c>
      <c r="X50" s="49">
        <f t="shared" ref="X50:X55" si="30">LOG10(S50)</f>
        <v>12.871112793844778</v>
      </c>
      <c r="Y50" s="50" t="s">
        <v>36</v>
      </c>
      <c r="Z50" s="50" t="str">
        <f t="shared" ref="Z50:Z55" si="31">IF(W50&lt;0.25,"Fully visible",
IF(W50&lt;0.3,"Partial visible",
IF(W50&lt;0.32,"Collapse boundary",
"Invisible (Black hole)")))</f>
        <v>Invisible (Black hole)</v>
      </c>
      <c r="AA50" s="20" t="str">
        <f t="shared" si="27"/>
        <v>Collapse transition</v>
      </c>
      <c r="AB50" s="48" t="str">
        <f t="shared" si="13"/>
        <v>Partial visible</v>
      </c>
      <c r="AC50" s="200">
        <f t="shared" ref="AC50:AC55" si="32">E50*1.788E+47</f>
        <v>2.5032000000000001E+47</v>
      </c>
      <c r="AD50" s="200">
        <f t="shared" ref="AD50:AD55" si="33">0.000000000066743*(E50*1.98847E+30)^2/(F50*1000)</f>
        <v>1.0344985280007954E+47</v>
      </c>
    </row>
    <row r="51" spans="1:30" x14ac:dyDescent="0.35">
      <c r="A51" s="133" t="s">
        <v>40</v>
      </c>
      <c r="B51" s="8">
        <v>1.97</v>
      </c>
      <c r="C51" s="8">
        <v>2.0499999999999998</v>
      </c>
      <c r="D51" s="29">
        <v>2.0099999999999998</v>
      </c>
      <c r="E51" s="114">
        <v>2.0099999999999998</v>
      </c>
      <c r="F51" s="145">
        <v>13</v>
      </c>
      <c r="G51" s="178">
        <f t="shared" si="15"/>
        <v>0.1546153846153846</v>
      </c>
      <c r="H51" s="11">
        <f t="shared" si="16"/>
        <v>0.22821230769230766</v>
      </c>
      <c r="I51" s="11">
        <f t="shared" si="17"/>
        <v>5.8128602241680794E+17</v>
      </c>
      <c r="J51" s="16">
        <v>0.1</v>
      </c>
      <c r="K51" s="11">
        <f t="shared" si="18"/>
        <v>0.64676616915422891</v>
      </c>
      <c r="L51" s="154">
        <f t="shared" si="19"/>
        <v>0.54336829554196731</v>
      </c>
      <c r="M51" s="154">
        <f t="shared" si="20"/>
        <v>5.4336829554196733E-2</v>
      </c>
      <c r="N51" s="154">
        <f t="shared" si="21"/>
        <v>7.9368402719613207E-2</v>
      </c>
      <c r="O51" s="16">
        <f t="shared" si="22"/>
        <v>0.22584269662921344</v>
      </c>
      <c r="P51" s="10">
        <f t="shared" si="23"/>
        <v>-0.14647429390960023</v>
      </c>
      <c r="Q51" s="11">
        <f>'[1]Mass Min'!M14</f>
        <v>-0.14065256834462639</v>
      </c>
      <c r="R51" s="11">
        <f>'[1]Mass Max'!M14</f>
        <v>-0.15229601947457413</v>
      </c>
      <c r="S51" s="11">
        <f t="shared" si="28"/>
        <v>1578461958296.4492</v>
      </c>
      <c r="T51" s="11">
        <f t="shared" si="29"/>
        <v>8.2358652558407018E-9</v>
      </c>
      <c r="U51" s="11">
        <f t="shared" si="24"/>
        <v>0.67574529555005614</v>
      </c>
      <c r="V51" s="11">
        <f t="shared" si="25"/>
        <v>1.4606282049553498</v>
      </c>
      <c r="W51" s="11">
        <f t="shared" si="26"/>
        <v>0.22831585222901635</v>
      </c>
      <c r="X51" s="11">
        <f t="shared" si="30"/>
        <v>12.198234119645393</v>
      </c>
      <c r="Y51" s="9" t="s">
        <v>36</v>
      </c>
      <c r="Z51" s="9" t="str">
        <f t="shared" si="31"/>
        <v>Fully visible</v>
      </c>
      <c r="AA51" s="20" t="str">
        <f t="shared" si="27"/>
        <v>Partial visible</v>
      </c>
      <c r="AB51" s="10" t="str">
        <f t="shared" si="13"/>
        <v>Partial visible</v>
      </c>
      <c r="AC51" s="200">
        <f t="shared" si="32"/>
        <v>3.5938799999999996E+47</v>
      </c>
      <c r="AD51" s="200">
        <f t="shared" si="33"/>
        <v>8.2014864658085023E+46</v>
      </c>
    </row>
    <row r="52" spans="1:30" x14ac:dyDescent="0.35">
      <c r="A52" s="134" t="s">
        <v>41</v>
      </c>
      <c r="B52" s="5">
        <v>1.7</v>
      </c>
      <c r="C52" s="5">
        <v>2.1</v>
      </c>
      <c r="D52" s="17">
        <v>1.9</v>
      </c>
      <c r="E52" s="6">
        <v>1.9</v>
      </c>
      <c r="F52" s="146">
        <v>12.4</v>
      </c>
      <c r="G52" s="180">
        <f t="shared" si="15"/>
        <v>0.15322580645161288</v>
      </c>
      <c r="H52" s="19">
        <f t="shared" si="16"/>
        <v>0.22616129032258062</v>
      </c>
      <c r="I52" s="19">
        <f t="shared" si="17"/>
        <v>5.8655765134812685E+17</v>
      </c>
      <c r="J52" s="25">
        <v>0.1</v>
      </c>
      <c r="K52" s="19">
        <f t="shared" si="18"/>
        <v>0.65263157894736856</v>
      </c>
      <c r="L52" s="157">
        <f t="shared" si="19"/>
        <v>0.54747219145749448</v>
      </c>
      <c r="M52" s="157">
        <f t="shared" si="20"/>
        <v>5.4747219145749454E-2</v>
      </c>
      <c r="N52" s="157">
        <f t="shared" si="21"/>
        <v>7.6277024427785764E-2</v>
      </c>
      <c r="O52" s="25">
        <f t="shared" si="22"/>
        <v>0.21348314606741572</v>
      </c>
      <c r="P52" s="18">
        <f t="shared" si="23"/>
        <v>-0.13720612163962997</v>
      </c>
      <c r="Q52" s="19">
        <f>'[1]Mass Min'!M15</f>
        <v>-0.10809749381476058</v>
      </c>
      <c r="R52" s="19">
        <f>'[1]Mass Max'!M15</f>
        <v>-0.16631474946449937</v>
      </c>
      <c r="S52" s="19">
        <f t="shared" si="28"/>
        <v>1639966578427.4192</v>
      </c>
      <c r="T52" s="19">
        <f t="shared" si="29"/>
        <v>7.5611296980762184E-9</v>
      </c>
      <c r="U52" s="19">
        <f t="shared" si="24"/>
        <v>0.67270187196298592</v>
      </c>
      <c r="V52" s="19">
        <f t="shared" si="25"/>
        <v>1.4738743878666858</v>
      </c>
      <c r="W52" s="19">
        <f t="shared" si="26"/>
        <v>0.22626390427125276</v>
      </c>
      <c r="X52" s="19">
        <f t="shared" si="30"/>
        <v>12.214834997466935</v>
      </c>
      <c r="Y52" s="20" t="s">
        <v>36</v>
      </c>
      <c r="Z52" s="20" t="str">
        <f t="shared" si="31"/>
        <v>Fully visible</v>
      </c>
      <c r="AA52" s="20" t="str">
        <f t="shared" si="27"/>
        <v>Partial visible</v>
      </c>
      <c r="AB52" s="18" t="str">
        <f t="shared" si="13"/>
        <v>Partial visible</v>
      </c>
      <c r="AC52" s="200">
        <f t="shared" si="32"/>
        <v>3.3971999999999998E+47</v>
      </c>
      <c r="AD52" s="200">
        <f t="shared" si="33"/>
        <v>7.6829733502363226E+46</v>
      </c>
    </row>
    <row r="53" spans="1:30" ht="15" thickBot="1" x14ac:dyDescent="0.4">
      <c r="A53" s="137" t="s">
        <v>42</v>
      </c>
      <c r="B53" s="39">
        <v>1.89</v>
      </c>
      <c r="C53" s="39">
        <v>1.92</v>
      </c>
      <c r="D53" s="40">
        <v>1.9079999999999999</v>
      </c>
      <c r="E53" s="46">
        <v>1.9079999999999999</v>
      </c>
      <c r="F53" s="148">
        <v>13</v>
      </c>
      <c r="G53" s="179">
        <f t="shared" si="15"/>
        <v>0.14676923076923076</v>
      </c>
      <c r="H53" s="49">
        <f t="shared" si="16"/>
        <v>0.21663138461538461</v>
      </c>
      <c r="I53" s="49">
        <f t="shared" si="17"/>
        <v>6.1236089686764774E+17</v>
      </c>
      <c r="J53" s="53">
        <v>0.1</v>
      </c>
      <c r="K53" s="49">
        <f t="shared" si="18"/>
        <v>0.68134171907756824</v>
      </c>
      <c r="L53" s="158">
        <f t="shared" si="19"/>
        <v>0.56654065069356896</v>
      </c>
      <c r="M53" s="158">
        <f t="shared" si="20"/>
        <v>5.6654065069356899E-2</v>
      </c>
      <c r="N53" s="158">
        <f t="shared" si="21"/>
        <v>8.2753128752993219E-2</v>
      </c>
      <c r="O53" s="53">
        <f t="shared" si="22"/>
        <v>0.2143820224719101</v>
      </c>
      <c r="P53" s="48">
        <f t="shared" si="23"/>
        <v>-0.1316288937189169</v>
      </c>
      <c r="Q53" s="49">
        <f>'[1]Mass Min'!M16</f>
        <v>-0.12900911721467864</v>
      </c>
      <c r="R53" s="49">
        <f>'[1]Mass Max'!M16</f>
        <v>-0.13337541138840903</v>
      </c>
      <c r="S53" s="49">
        <f t="shared" si="28"/>
        <v>1498360903696.3313</v>
      </c>
      <c r="T53" s="49">
        <f t="shared" si="29"/>
        <v>8.6761473607126863E-9</v>
      </c>
      <c r="U53" s="49">
        <f t="shared" si="24"/>
        <v>0.65837629764932382</v>
      </c>
      <c r="V53" s="49">
        <f t="shared" si="25"/>
        <v>1.5387121027045354</v>
      </c>
      <c r="W53" s="49">
        <f t="shared" si="26"/>
        <v>0.21672967465321555</v>
      </c>
      <c r="X53" s="49">
        <f t="shared" si="30"/>
        <v>12.17561643259298</v>
      </c>
      <c r="Y53" s="50" t="s">
        <v>36</v>
      </c>
      <c r="Z53" s="50" t="str">
        <f t="shared" si="31"/>
        <v>Fully visible</v>
      </c>
      <c r="AA53" s="20" t="str">
        <f t="shared" si="27"/>
        <v>Partial visible</v>
      </c>
      <c r="AB53" s="48" t="str">
        <f t="shared" si="13"/>
        <v>Partial visible</v>
      </c>
      <c r="AC53" s="200">
        <f t="shared" si="32"/>
        <v>3.4115040000000001E+47</v>
      </c>
      <c r="AD53" s="200">
        <f t="shared" si="33"/>
        <v>7.3902171295916179E+46</v>
      </c>
    </row>
    <row r="54" spans="1:30" ht="15" thickBot="1" x14ac:dyDescent="0.4">
      <c r="A54" s="172" t="s">
        <v>43</v>
      </c>
      <c r="B54" s="131">
        <v>1.66</v>
      </c>
      <c r="C54" s="131">
        <v>2.4</v>
      </c>
      <c r="D54" s="175">
        <f>(1.66+1.8)/2</f>
        <v>1.73</v>
      </c>
      <c r="E54" s="176">
        <f>(1.66+1.8)/2</f>
        <v>1.73</v>
      </c>
      <c r="F54" s="177">
        <v>11</v>
      </c>
      <c r="G54" s="181">
        <f t="shared" si="15"/>
        <v>0.15727272727272726</v>
      </c>
      <c r="H54" s="132">
        <f t="shared" si="16"/>
        <v>0.23213454545454543</v>
      </c>
      <c r="I54" s="132">
        <f t="shared" si="17"/>
        <v>5.7146472792062458E+17</v>
      </c>
      <c r="J54" s="159">
        <v>0.1</v>
      </c>
      <c r="K54" s="132">
        <f t="shared" si="18"/>
        <v>0.63583815028901747</v>
      </c>
      <c r="L54" s="161">
        <f t="shared" si="19"/>
        <v>0.53552026082039095</v>
      </c>
      <c r="M54" s="161">
        <f t="shared" si="20"/>
        <v>5.35520260820391E-2</v>
      </c>
      <c r="N54" s="161">
        <f t="shared" si="21"/>
        <v>6.6187897404767423E-2</v>
      </c>
      <c r="O54" s="159">
        <f t="shared" si="22"/>
        <v>0.19438202247191011</v>
      </c>
      <c r="P54" s="185">
        <f t="shared" si="23"/>
        <v>-0.12819412506714267</v>
      </c>
      <c r="Q54" s="132">
        <f>'[1]Mass Min'!M17</f>
        <v>-0.11800610532843836</v>
      </c>
      <c r="R54" s="132">
        <f>'[1]Mass Max'!M17</f>
        <v>-0.22570802828045514</v>
      </c>
      <c r="S54" s="132">
        <f t="shared" si="28"/>
        <v>1897516231845.4546</v>
      </c>
      <c r="T54" s="132">
        <f t="shared" si="29"/>
        <v>5.7970518593676555E-9</v>
      </c>
      <c r="U54" s="132">
        <f t="shared" si="24"/>
        <v>0.68152750434564935</v>
      </c>
      <c r="V54" s="132">
        <f t="shared" si="25"/>
        <v>1.4359488488911865</v>
      </c>
      <c r="W54" s="132">
        <f t="shared" si="26"/>
        <v>0.23223986958980455</v>
      </c>
      <c r="X54" s="132">
        <f t="shared" si="30"/>
        <v>12.278185499650922</v>
      </c>
      <c r="Y54" s="193" t="s">
        <v>36</v>
      </c>
      <c r="Z54" s="193" t="str">
        <f t="shared" si="31"/>
        <v>Fully visible</v>
      </c>
      <c r="AA54" s="20" t="str">
        <f t="shared" si="27"/>
        <v>Partial visible</v>
      </c>
      <c r="AB54" s="185" t="str">
        <f t="shared" si="13"/>
        <v>Partial visible</v>
      </c>
      <c r="AC54" s="200">
        <f t="shared" si="32"/>
        <v>3.09324E+47</v>
      </c>
      <c r="AD54" s="200">
        <f t="shared" si="33"/>
        <v>7.1803122552263013E+46</v>
      </c>
    </row>
    <row r="55" spans="1:30" x14ac:dyDescent="0.35">
      <c r="A55" s="133" t="s">
        <v>44</v>
      </c>
      <c r="B55" s="8">
        <v>1.46</v>
      </c>
      <c r="C55" s="8">
        <v>1.73</v>
      </c>
      <c r="D55" s="29">
        <v>1.58</v>
      </c>
      <c r="E55" s="114">
        <v>1.58</v>
      </c>
      <c r="F55" s="145">
        <v>9.1</v>
      </c>
      <c r="G55" s="178">
        <f t="shared" si="15"/>
        <v>0.17362637362637365</v>
      </c>
      <c r="H55" s="11">
        <f t="shared" si="16"/>
        <v>0.25627252747252749</v>
      </c>
      <c r="I55" s="11">
        <f t="shared" si="17"/>
        <v>5.1764000855489926E+17</v>
      </c>
      <c r="J55" s="16">
        <v>0.1</v>
      </c>
      <c r="K55" s="11">
        <f t="shared" si="18"/>
        <v>0.57594936708860756</v>
      </c>
      <c r="L55" s="154">
        <f t="shared" si="19"/>
        <v>0.48722239300377279</v>
      </c>
      <c r="M55" s="154">
        <f t="shared" si="20"/>
        <v>4.8722239300377279E-2</v>
      </c>
      <c r="N55" s="154">
        <f t="shared" si="21"/>
        <v>4.9817121082408225E-2</v>
      </c>
      <c r="O55" s="16">
        <f t="shared" si="22"/>
        <v>0.17752808988764046</v>
      </c>
      <c r="P55" s="10">
        <f t="shared" si="23"/>
        <v>-0.12771096880523225</v>
      </c>
      <c r="Q55" s="11">
        <f>'[1]Mass Min'!M18</f>
        <v>-0.11024579211031059</v>
      </c>
      <c r="R55" s="11">
        <f>'[1]Mass Max'!M18</f>
        <v>-0.14954243967388425</v>
      </c>
      <c r="S55" s="11">
        <f t="shared" si="28"/>
        <v>2532206207846.8784</v>
      </c>
      <c r="T55" s="11">
        <f t="shared" si="29"/>
        <v>3.5937041666672486E-9</v>
      </c>
      <c r="U55" s="11">
        <f t="shared" si="24"/>
        <v>0.71608491605132096</v>
      </c>
      <c r="V55" s="11">
        <f t="shared" si="25"/>
        <v>1.3006986609950486</v>
      </c>
      <c r="W55" s="11">
        <f t="shared" si="26"/>
        <v>0.25638880349811366</v>
      </c>
      <c r="X55" s="11">
        <f t="shared" si="30"/>
        <v>12.403499069150813</v>
      </c>
      <c r="Y55" s="9" t="s">
        <v>36</v>
      </c>
      <c r="Z55" s="9" t="str">
        <f t="shared" si="31"/>
        <v>Partial visible</v>
      </c>
      <c r="AA55" s="20" t="str">
        <f t="shared" si="27"/>
        <v>Partial visible</v>
      </c>
      <c r="AB55" s="10" t="str">
        <f t="shared" si="13"/>
        <v>Partial visible</v>
      </c>
      <c r="AC55" s="200">
        <f t="shared" si="32"/>
        <v>2.8250400000000002E+47</v>
      </c>
      <c r="AD55" s="200">
        <f t="shared" si="33"/>
        <v>7.2396336771170298E+46</v>
      </c>
    </row>
    <row r="56" spans="1:30" x14ac:dyDescent="0.35">
      <c r="A56" s="134" t="s">
        <v>77</v>
      </c>
      <c r="B56" s="125"/>
      <c r="C56" s="125"/>
      <c r="D56" s="125"/>
      <c r="E56" s="1">
        <v>1</v>
      </c>
      <c r="F56" s="146">
        <v>10</v>
      </c>
      <c r="G56" s="21">
        <f t="shared" si="15"/>
        <v>0.1</v>
      </c>
      <c r="H56" s="21">
        <f t="shared" si="16"/>
        <v>0.14760000000000001</v>
      </c>
      <c r="I56" s="21">
        <f t="shared" si="17"/>
        <v>8.9875517873681754E+17</v>
      </c>
      <c r="J56" s="146">
        <v>0</v>
      </c>
      <c r="K56" s="21">
        <f t="shared" si="18"/>
        <v>0</v>
      </c>
      <c r="L56" s="157">
        <f t="shared" si="19"/>
        <v>0.70466606179331215</v>
      </c>
      <c r="M56" s="157">
        <f t="shared" si="20"/>
        <v>0</v>
      </c>
      <c r="N56" s="157">
        <f t="shared" si="21"/>
        <v>0</v>
      </c>
      <c r="O56" s="245">
        <f t="shared" si="22"/>
        <v>0.11235955056179775</v>
      </c>
      <c r="P56" s="245">
        <f t="shared" si="23"/>
        <v>-0.11235955056179775</v>
      </c>
      <c r="Q56" s="246"/>
      <c r="R56" s="246"/>
      <c r="S56" s="246"/>
      <c r="T56" s="246"/>
      <c r="U56" s="19">
        <f t="shared" si="24"/>
        <v>0.54344635264825158</v>
      </c>
      <c r="V56" s="19">
        <f t="shared" si="25"/>
        <v>2.2583559168925023</v>
      </c>
      <c r="W56" s="19">
        <f t="shared" si="26"/>
        <v>0.14766696910334393</v>
      </c>
      <c r="X56" s="246"/>
      <c r="Y56" s="20"/>
      <c r="Z56" s="238" t="str">
        <f>IF(W56&lt;0.25,"Fully visible",
IF(W56&lt;0.45,"Partial visible",
IF(W56&lt;0.48,"Collapse transition",
"Invisible (Black hole)")))</f>
        <v>Fully visible</v>
      </c>
      <c r="AA56" s="20" t="str">
        <f t="shared" si="27"/>
        <v>Fully visible</v>
      </c>
      <c r="AB56" s="245" t="str">
        <f t="shared" si="13"/>
        <v>Partial visible</v>
      </c>
    </row>
    <row r="57" spans="1:30" x14ac:dyDescent="0.35">
      <c r="A57" s="171" t="s">
        <v>45</v>
      </c>
      <c r="B57" s="5">
        <v>1.3</v>
      </c>
      <c r="C57" s="5">
        <v>1.7</v>
      </c>
      <c r="D57" s="26">
        <v>1.51</v>
      </c>
      <c r="E57" s="27">
        <v>1.51</v>
      </c>
      <c r="F57" s="147">
        <v>10.9</v>
      </c>
      <c r="G57" s="180">
        <f t="shared" si="15"/>
        <v>0.13853211009174313</v>
      </c>
      <c r="H57" s="19">
        <f t="shared" si="16"/>
        <v>0.20447339449541285</v>
      </c>
      <c r="I57" s="19">
        <f t="shared" si="17"/>
        <v>6.4877198132269978E+17</v>
      </c>
      <c r="J57" s="25">
        <v>0.1</v>
      </c>
      <c r="K57" s="19">
        <f t="shared" si="18"/>
        <v>0.72185430463576161</v>
      </c>
      <c r="L57" s="157">
        <f t="shared" si="19"/>
        <v>0.59086766358523057</v>
      </c>
      <c r="M57" s="157">
        <f t="shared" si="20"/>
        <v>5.9086766358523057E-2</v>
      </c>
      <c r="N57" s="157">
        <f t="shared" si="21"/>
        <v>7.2364691382910268E-2</v>
      </c>
      <c r="O57" s="25">
        <f t="shared" si="22"/>
        <v>0.16966292134831459</v>
      </c>
      <c r="P57" s="18">
        <f t="shared" si="23"/>
        <v>-9.7298229965404326E-2</v>
      </c>
      <c r="Q57" s="19">
        <f>'[1]Mass Min'!M19</f>
        <v>-6.6734170749291472E-2</v>
      </c>
      <c r="R57" s="19">
        <f>'[1]Mass Max'!M19</f>
        <v>-0.12495142639903024</v>
      </c>
      <c r="S57" s="19">
        <f>0.000000000066743*(E57*1.98847E+30)/((F57*1000)^2)</f>
        <v>1686742230006.7332</v>
      </c>
      <c r="T57" s="19">
        <f>(F57*1000)/S57</f>
        <v>6.4621610854887352E-9</v>
      </c>
      <c r="U57" s="19">
        <f t="shared" si="24"/>
        <v>0.6396345334757727</v>
      </c>
      <c r="V57" s="19">
        <f t="shared" si="25"/>
        <v>1.6302039400084951</v>
      </c>
      <c r="W57" s="19">
        <f t="shared" si="26"/>
        <v>0.20456616820738469</v>
      </c>
      <c r="X57" s="19">
        <f>LOG10(S57)</f>
        <v>12.227048718250499</v>
      </c>
      <c r="Y57" s="20" t="s">
        <v>36</v>
      </c>
      <c r="Z57" s="20" t="str">
        <f>IF(W57&lt;0.25,"Fully visible",
IF(W57&lt;0.3,"Partial visible",
IF(W57&lt;0.32,"Collapse boundary",
"Invisible (Black hole)")))</f>
        <v>Fully visible</v>
      </c>
      <c r="AA57" s="20" t="str">
        <f t="shared" si="27"/>
        <v>Partial visible</v>
      </c>
      <c r="AB57" s="18" t="str">
        <f t="shared" si="13"/>
        <v>Partial visible</v>
      </c>
      <c r="AC57" s="200">
        <f>E57*1.788E+47</f>
        <v>2.6998799999999999E+47</v>
      </c>
      <c r="AD57" s="200">
        <f>0.000000000066743*(E57*1.98847E+30)^2/(F57*1000)</f>
        <v>5.5204083825468407E+46</v>
      </c>
    </row>
    <row r="58" spans="1:30" x14ac:dyDescent="0.35">
      <c r="A58" s="134" t="s">
        <v>46</v>
      </c>
      <c r="B58" s="5">
        <v>1.2</v>
      </c>
      <c r="C58" s="5">
        <v>1.6</v>
      </c>
      <c r="D58" s="17">
        <v>1.4</v>
      </c>
      <c r="E58" s="6">
        <v>1.4</v>
      </c>
      <c r="F58" s="146">
        <v>9.6999999999999993</v>
      </c>
      <c r="G58" s="180">
        <f t="shared" si="15"/>
        <v>0.14432989690721651</v>
      </c>
      <c r="H58" s="19">
        <f t="shared" si="16"/>
        <v>0.21303092783505156</v>
      </c>
      <c r="I58" s="19">
        <f t="shared" si="17"/>
        <v>6.2271091999871053E+17</v>
      </c>
      <c r="J58" s="25">
        <v>0.1</v>
      </c>
      <c r="K58" s="19">
        <f t="shared" si="18"/>
        <v>0.69285714285714284</v>
      </c>
      <c r="L58" s="157">
        <f t="shared" si="19"/>
        <v>0.57374483145426503</v>
      </c>
      <c r="M58" s="157">
        <f t="shared" si="20"/>
        <v>5.7374483145426508E-2</v>
      </c>
      <c r="N58" s="157">
        <f t="shared" si="21"/>
        <v>6.2531740057374954E-2</v>
      </c>
      <c r="O58" s="25">
        <f t="shared" si="22"/>
        <v>0.15730337078651685</v>
      </c>
      <c r="P58" s="18">
        <f t="shared" si="23"/>
        <v>-9.4771630729141895E-2</v>
      </c>
      <c r="Q58" s="19">
        <f>'[1]Mass Min'!M20</f>
        <v>-6.5663002904272502E-2</v>
      </c>
      <c r="R58" s="19">
        <f>'[1]Mass Max'!M20</f>
        <v>-0.1238802585540113</v>
      </c>
      <c r="S58" s="19">
        <f>0.000000000066743*(E58*1.98847E+30)/((F58*1000)^2)</f>
        <v>1974737320586.6721</v>
      </c>
      <c r="T58" s="19">
        <f>(F58*1000)/S58</f>
        <v>4.9120457181202409E-9</v>
      </c>
      <c r="U58" s="19">
        <f t="shared" si="24"/>
        <v>0.65288220112493112</v>
      </c>
      <c r="V58" s="19">
        <f t="shared" si="25"/>
        <v>1.5647180281326623</v>
      </c>
      <c r="W58" s="19">
        <f t="shared" si="26"/>
        <v>0.21312758427286749</v>
      </c>
      <c r="X58" s="19">
        <f>LOG10(S58)</f>
        <v>12.295509333984326</v>
      </c>
      <c r="Y58" s="20" t="s">
        <v>36</v>
      </c>
      <c r="Z58" s="20" t="str">
        <f>IF(W58&lt;0.25,"Fully visible",
IF(W58&lt;0.3,"Partial visible",
IF(W58&lt;0.32,"Collapse boundary",
"Invisible (Black hole)")))</f>
        <v>Fully visible</v>
      </c>
      <c r="AA58" s="20" t="str">
        <f t="shared" si="27"/>
        <v>Partial visible</v>
      </c>
      <c r="AB58" s="18" t="str">
        <f t="shared" si="13"/>
        <v>Partial visible</v>
      </c>
      <c r="AC58" s="200">
        <f>E58*1.788E+47</f>
        <v>2.5032000000000001E+47</v>
      </c>
      <c r="AD58" s="200">
        <f>0.000000000066743*(E58*1.98847E+30)^2/(F58*1000)</f>
        <v>5.3324666391793574E+46</v>
      </c>
    </row>
    <row r="59" spans="1:30" x14ac:dyDescent="0.35">
      <c r="A59" s="134" t="s">
        <v>47</v>
      </c>
      <c r="B59" s="5">
        <v>1.2</v>
      </c>
      <c r="C59" s="5">
        <v>1.6</v>
      </c>
      <c r="D59" s="17">
        <v>1.4</v>
      </c>
      <c r="E59" s="6">
        <v>1.4</v>
      </c>
      <c r="F59" s="146">
        <v>10</v>
      </c>
      <c r="G59" s="180">
        <f t="shared" si="15"/>
        <v>0.13999999999999999</v>
      </c>
      <c r="H59" s="19">
        <f t="shared" si="16"/>
        <v>0.20663999999999996</v>
      </c>
      <c r="I59" s="19">
        <f t="shared" si="17"/>
        <v>6.4196984283697997E+17</v>
      </c>
      <c r="J59" s="25">
        <v>0.1</v>
      </c>
      <c r="K59" s="19">
        <f t="shared" si="18"/>
        <v>0.71428571428571441</v>
      </c>
      <c r="L59" s="157">
        <f t="shared" si="19"/>
        <v>0.58653248651063694</v>
      </c>
      <c r="M59" s="157">
        <f t="shared" si="20"/>
        <v>5.8653248651063694E-2</v>
      </c>
      <c r="N59" s="157">
        <f t="shared" si="21"/>
        <v>6.5902526574228862E-2</v>
      </c>
      <c r="O59" s="25">
        <f t="shared" si="22"/>
        <v>0.15730337078651685</v>
      </c>
      <c r="P59" s="18">
        <f t="shared" si="23"/>
        <v>-9.1400844212287988E-2</v>
      </c>
      <c r="Q59" s="19">
        <f>'[1]Mass Min'!M21</f>
        <v>-6.2292216387418567E-2</v>
      </c>
      <c r="R59" s="19">
        <f>'[1]Mass Max'!M21</f>
        <v>-0.12050947203715737</v>
      </c>
      <c r="S59" s="19">
        <f>0.000000000066743*(E59*1.98847E+30)/((F59*1000)^2)</f>
        <v>1858030344939.9998</v>
      </c>
      <c r="T59" s="19">
        <f>(F59*1000)/S59</f>
        <v>5.3820434242277806E-9</v>
      </c>
      <c r="U59" s="19">
        <f t="shared" si="24"/>
        <v>0.64301439602030908</v>
      </c>
      <c r="V59" s="19">
        <f t="shared" si="25"/>
        <v>1.6131113692089303</v>
      </c>
      <c r="W59" s="19">
        <f t="shared" si="26"/>
        <v>0.2067337567446815</v>
      </c>
      <c r="X59" s="19">
        <f>LOG10(S59)</f>
        <v>12.269052802516816</v>
      </c>
      <c r="Y59" s="20" t="s">
        <v>36</v>
      </c>
      <c r="Z59" s="20" t="str">
        <f>IF(W59&lt;0.25,"Fully visible",
IF(W59&lt;0.3,"Partial visible",
IF(W59&lt;0.32,"Collapse boundary",
"Invisible (Black hole)")))</f>
        <v>Fully visible</v>
      </c>
      <c r="AA59" s="20" t="str">
        <f t="shared" si="27"/>
        <v>Partial visible</v>
      </c>
      <c r="AB59" s="18" t="str">
        <f t="shared" si="13"/>
        <v>Partial visible</v>
      </c>
      <c r="AC59" s="200">
        <f>E59*1.788E+47</f>
        <v>2.5032000000000001E+47</v>
      </c>
      <c r="AD59" s="200">
        <f>0.000000000066743*(E59*1.98847E+30)^2/(F59*1000)</f>
        <v>5.172492640003977E+46</v>
      </c>
    </row>
    <row r="60" spans="1:30" x14ac:dyDescent="0.35">
      <c r="A60" s="134" t="s">
        <v>77</v>
      </c>
      <c r="B60" s="125"/>
      <c r="C60" s="125"/>
      <c r="D60" s="125"/>
      <c r="E60" s="1">
        <v>3</v>
      </c>
      <c r="F60" s="146">
        <v>14.4</v>
      </c>
      <c r="G60" s="21">
        <f t="shared" si="15"/>
        <v>0.20833333333333331</v>
      </c>
      <c r="H60" s="21">
        <f t="shared" si="16"/>
        <v>0.3075</v>
      </c>
      <c r="I60" s="21">
        <f t="shared" si="17"/>
        <v>4.3140248579367251E+17</v>
      </c>
      <c r="J60" s="146">
        <v>0.4</v>
      </c>
      <c r="K60" s="21">
        <f t="shared" si="18"/>
        <v>1.9200000000000004</v>
      </c>
      <c r="L60" s="157">
        <f t="shared" si="19"/>
        <v>0.38472096206940043</v>
      </c>
      <c r="M60" s="157">
        <f t="shared" si="20"/>
        <v>0.15388838482776018</v>
      </c>
      <c r="N60" s="157">
        <f t="shared" si="21"/>
        <v>0.24898794848536482</v>
      </c>
      <c r="O60" s="245">
        <f t="shared" si="22"/>
        <v>0.33707865168539325</v>
      </c>
      <c r="P60" s="245">
        <f t="shared" si="23"/>
        <v>-8.8090703200028431E-2</v>
      </c>
      <c r="Q60" s="246"/>
      <c r="R60" s="246"/>
      <c r="S60" s="246"/>
      <c r="T60" s="246"/>
      <c r="U60" s="19">
        <f t="shared" si="24"/>
        <v>0.78439724497897079</v>
      </c>
      <c r="V60" s="19">
        <f t="shared" si="25"/>
        <v>1.0840108401084012</v>
      </c>
      <c r="W60" s="19">
        <f t="shared" si="26"/>
        <v>0.30763951896529979</v>
      </c>
      <c r="X60" s="246"/>
      <c r="Y60" s="20"/>
      <c r="Z60" s="238" t="str">
        <f>IF(W60&lt;0.25,"Fully visible",
IF(W60&lt;0.45,"Partial visible",
IF(W60&lt;0.48,"Collapse transition",
"Invisible (Black hole)")))</f>
        <v>Partial visible</v>
      </c>
      <c r="AA60" s="20" t="str">
        <f t="shared" si="27"/>
        <v>Partial visible</v>
      </c>
      <c r="AB60" s="245" t="str">
        <f t="shared" si="13"/>
        <v>Partial visible</v>
      </c>
    </row>
    <row r="61" spans="1:30" x14ac:dyDescent="0.35">
      <c r="A61" s="134" t="s">
        <v>48</v>
      </c>
      <c r="B61" s="5">
        <v>1.3</v>
      </c>
      <c r="C61" s="5">
        <v>1.8</v>
      </c>
      <c r="D61" s="17">
        <v>1.5</v>
      </c>
      <c r="E61" s="6">
        <v>1.5</v>
      </c>
      <c r="F61" s="146">
        <v>12.1</v>
      </c>
      <c r="G61" s="180">
        <f t="shared" si="15"/>
        <v>0.12396694214876033</v>
      </c>
      <c r="H61" s="19">
        <f t="shared" si="16"/>
        <v>0.18297520661157024</v>
      </c>
      <c r="I61" s="19">
        <f t="shared" si="17"/>
        <v>7.249972038853321E+17</v>
      </c>
      <c r="J61" s="25">
        <v>0.1</v>
      </c>
      <c r="K61" s="19">
        <f t="shared" si="18"/>
        <v>0.80666666666666664</v>
      </c>
      <c r="L61" s="157">
        <f t="shared" si="19"/>
        <v>0.63388354767765975</v>
      </c>
      <c r="M61" s="157">
        <f t="shared" si="20"/>
        <v>6.3388354767765984E-2</v>
      </c>
      <c r="N61" s="157">
        <f t="shared" si="21"/>
        <v>8.6179673335951501E-2</v>
      </c>
      <c r="O61" s="25">
        <f t="shared" si="22"/>
        <v>0.16853932584269662</v>
      </c>
      <c r="P61" s="18">
        <f t="shared" si="23"/>
        <v>-8.2359652506745124E-2</v>
      </c>
      <c r="Q61" s="19">
        <f>'[1]Mass Min'!M22</f>
        <v>-5.3251024681875772E-2</v>
      </c>
      <c r="R61" s="19">
        <f>'[1]Mass Max'!M22</f>
        <v>-0.12602259424404921</v>
      </c>
      <c r="S61" s="19">
        <f>0.000000000066743*(E61*1.98847E+30)/((F61*1000)^2)</f>
        <v>1359706849361.3821</v>
      </c>
      <c r="T61" s="19">
        <f>(F61*1000)/S61</f>
        <v>8.8989770152904982E-9</v>
      </c>
      <c r="U61" s="19">
        <f t="shared" si="24"/>
        <v>0.60507557571128279</v>
      </c>
      <c r="V61" s="19">
        <f t="shared" si="25"/>
        <v>1.8217404396266186</v>
      </c>
      <c r="W61" s="19">
        <f t="shared" si="26"/>
        <v>0.18305822616117012</v>
      </c>
      <c r="X61" s="19">
        <f>LOG10(S61)</f>
        <v>12.133445285261358</v>
      </c>
      <c r="Y61" s="20" t="s">
        <v>36</v>
      </c>
      <c r="Z61" s="20" t="str">
        <f>IF(W61&lt;0.25,"Fully visible",
IF(W61&lt;0.3,"Partial visible",
IF(W61&lt;0.32,"Collapse boundary",
"Invisible (Black hole)")))</f>
        <v>Fully visible</v>
      </c>
      <c r="AA61" s="20" t="str">
        <f t="shared" si="27"/>
        <v>Partial visible</v>
      </c>
      <c r="AB61" s="18" t="str">
        <f t="shared" si="13"/>
        <v>Partial visible</v>
      </c>
      <c r="AC61" s="200">
        <f>E61*1.788E+47</f>
        <v>2.6819999999999999E+47</v>
      </c>
      <c r="AD61" s="200">
        <f>0.000000000066743*(E61*1.98847E+30)^2/(F61*1000)</f>
        <v>4.9072813459305738E+46</v>
      </c>
    </row>
    <row r="62" spans="1:30" x14ac:dyDescent="0.35">
      <c r="A62" s="134" t="s">
        <v>77</v>
      </c>
      <c r="B62" s="125"/>
      <c r="C62" s="125"/>
      <c r="D62" s="125"/>
      <c r="E62" s="1">
        <v>2</v>
      </c>
      <c r="F62" s="146">
        <v>12.6</v>
      </c>
      <c r="G62" s="21">
        <f t="shared" si="15"/>
        <v>0.15873015873015872</v>
      </c>
      <c r="H62" s="21">
        <f t="shared" si="16"/>
        <v>0.23428571428571426</v>
      </c>
      <c r="I62" s="21">
        <f t="shared" si="17"/>
        <v>5.6621576260419514E+17</v>
      </c>
      <c r="J62" s="146">
        <v>0.2</v>
      </c>
      <c r="K62" s="21">
        <f t="shared" si="18"/>
        <v>1.2600000000000002</v>
      </c>
      <c r="L62" s="157">
        <f t="shared" si="19"/>
        <v>0.53121597110049557</v>
      </c>
      <c r="M62" s="157">
        <f t="shared" si="20"/>
        <v>0.10624319422009912</v>
      </c>
      <c r="N62" s="157">
        <f t="shared" si="21"/>
        <v>0.15041171316553356</v>
      </c>
      <c r="O62" s="245">
        <f t="shared" si="22"/>
        <v>0.2247191011235955</v>
      </c>
      <c r="P62" s="245">
        <f t="shared" si="23"/>
        <v>-7.4307387958061938E-2</v>
      </c>
      <c r="Q62" s="246"/>
      <c r="R62" s="246"/>
      <c r="S62" s="246"/>
      <c r="T62" s="246"/>
      <c r="U62" s="19">
        <f t="shared" si="24"/>
        <v>0.68467804762494344</v>
      </c>
      <c r="V62" s="19">
        <f t="shared" si="25"/>
        <v>1.4227642276422765</v>
      </c>
      <c r="W62" s="19">
        <f t="shared" si="26"/>
        <v>0.23439201444975225</v>
      </c>
      <c r="X62" s="246"/>
      <c r="Y62" s="20"/>
      <c r="Z62" s="238" t="str">
        <f>IF(W62&lt;0.25,"Fully visible",
IF(W62&lt;0.45,"Partial visible",
IF(W62&lt;0.48,"Collapse transition",
"Invisible (Black hole)")))</f>
        <v>Fully visible</v>
      </c>
      <c r="AA62" s="20" t="str">
        <f t="shared" si="27"/>
        <v>Partial visible</v>
      </c>
      <c r="AB62" s="245" t="str">
        <f t="shared" si="13"/>
        <v>Partial visible</v>
      </c>
    </row>
    <row r="63" spans="1:30" x14ac:dyDescent="0.35">
      <c r="A63" s="134" t="s">
        <v>49</v>
      </c>
      <c r="B63" s="5">
        <v>1.2</v>
      </c>
      <c r="C63" s="5">
        <v>1.6</v>
      </c>
      <c r="D63" s="17">
        <v>1.4</v>
      </c>
      <c r="E63" s="6">
        <v>1.4</v>
      </c>
      <c r="F63" s="146">
        <v>12.5</v>
      </c>
      <c r="G63" s="180">
        <f t="shared" si="15"/>
        <v>0.11199999999999999</v>
      </c>
      <c r="H63" s="19">
        <f t="shared" si="16"/>
        <v>0.16531199999999999</v>
      </c>
      <c r="I63" s="19">
        <f t="shared" si="17"/>
        <v>8.0246117015267443E+17</v>
      </c>
      <c r="J63" s="25">
        <v>0.1</v>
      </c>
      <c r="K63" s="19">
        <f t="shared" si="18"/>
        <v>0.89285714285714302</v>
      </c>
      <c r="L63" s="157">
        <f t="shared" si="19"/>
        <v>0.66922598920850973</v>
      </c>
      <c r="M63" s="157">
        <f t="shared" si="20"/>
        <v>6.6922598920850979E-2</v>
      </c>
      <c r="N63" s="157">
        <f t="shared" si="21"/>
        <v>9.3992414214678341E-2</v>
      </c>
      <c r="O63" s="25">
        <f t="shared" si="22"/>
        <v>0.15730337078651685</v>
      </c>
      <c r="P63" s="18">
        <f t="shared" si="23"/>
        <v>-6.3310956571838509E-2</v>
      </c>
      <c r="Q63" s="19">
        <f>'[1]Mass Min'!M23</f>
        <v>-3.4202328746969116E-2</v>
      </c>
      <c r="R63" s="19">
        <f>'[1]Mass Max'!M23</f>
        <v>-9.2419584396707916E-2</v>
      </c>
      <c r="S63" s="19">
        <f>0.000000000066743*(E63*1.98847E+30)/((F63*1000)^2)</f>
        <v>1189139420761.5999</v>
      </c>
      <c r="T63" s="19">
        <f>(F63*1000)/S63</f>
        <v>1.0511803562944883E-8</v>
      </c>
      <c r="U63" s="19">
        <f t="shared" si="24"/>
        <v>0.57512956000495252</v>
      </c>
      <c r="V63" s="19">
        <f t="shared" si="25"/>
        <v>2.016389211511163</v>
      </c>
      <c r="W63" s="19">
        <f t="shared" si="26"/>
        <v>0.16538700539574516</v>
      </c>
      <c r="X63" s="19">
        <f>LOG10(S63)</f>
        <v>12.075232776500703</v>
      </c>
      <c r="Y63" s="20" t="s">
        <v>36</v>
      </c>
      <c r="Z63" s="20" t="str">
        <f>IF(W63&lt;0.25,"Fully visible",
IF(W63&lt;0.3,"Partial visible",
IF(W63&lt;0.32,"Collapse boundary",
"Invisible (Black hole)")))</f>
        <v>Fully visible</v>
      </c>
      <c r="AA63" s="20" t="str">
        <f t="shared" si="27"/>
        <v>Fully visible</v>
      </c>
      <c r="AB63" s="18" t="str">
        <f t="shared" si="13"/>
        <v>Partial visible</v>
      </c>
      <c r="AC63" s="200">
        <f>E63*1.788E+47</f>
        <v>2.5032000000000001E+47</v>
      </c>
      <c r="AD63" s="200">
        <f>0.000000000066743*(E63*1.98847E+30)^2/(F63*1000)</f>
        <v>4.1379941120031817E+46</v>
      </c>
    </row>
    <row r="64" spans="1:30" x14ac:dyDescent="0.35">
      <c r="A64" s="134" t="s">
        <v>77</v>
      </c>
      <c r="B64" s="125"/>
      <c r="C64" s="125"/>
      <c r="D64" s="125"/>
      <c r="E64" s="1">
        <v>1</v>
      </c>
      <c r="F64" s="146">
        <v>10</v>
      </c>
      <c r="G64" s="21">
        <f t="shared" si="15"/>
        <v>0.1</v>
      </c>
      <c r="H64" s="21">
        <f t="shared" si="16"/>
        <v>0.14760000000000001</v>
      </c>
      <c r="I64" s="21">
        <f t="shared" si="17"/>
        <v>8.9875517873681754E+17</v>
      </c>
      <c r="J64" s="146">
        <v>0.1</v>
      </c>
      <c r="K64" s="21">
        <f t="shared" si="18"/>
        <v>1</v>
      </c>
      <c r="L64" s="157">
        <f t="shared" si="19"/>
        <v>0.70466606179331215</v>
      </c>
      <c r="M64" s="157">
        <f t="shared" si="20"/>
        <v>7.0466606179331218E-2</v>
      </c>
      <c r="N64" s="157">
        <f t="shared" si="21"/>
        <v>7.9175961999248548E-2</v>
      </c>
      <c r="O64" s="245">
        <f t="shared" si="22"/>
        <v>0.11235955056179775</v>
      </c>
      <c r="P64" s="245">
        <f t="shared" si="23"/>
        <v>-3.3183588562549202E-2</v>
      </c>
      <c r="Q64" s="246"/>
      <c r="R64" s="246"/>
      <c r="S64" s="246"/>
      <c r="T64" s="246"/>
      <c r="U64" s="19">
        <f t="shared" si="24"/>
        <v>0.54344635264825158</v>
      </c>
      <c r="V64" s="19">
        <f t="shared" si="25"/>
        <v>2.2583559168925023</v>
      </c>
      <c r="W64" s="19">
        <f t="shared" si="26"/>
        <v>0.14766696910334393</v>
      </c>
      <c r="X64" s="246"/>
      <c r="Y64" s="20"/>
      <c r="Z64" s="238" t="str">
        <f>IF(W64&lt;0.25,"Fully visible",
IF(W64&lt;0.45,"Partial visible",
IF(W64&lt;0.48,"Collapse transition",
"Invisible (Black hole)")))</f>
        <v>Fully visible</v>
      </c>
      <c r="AA64" s="20" t="str">
        <f t="shared" si="27"/>
        <v>Fully visible</v>
      </c>
      <c r="AB64" s="245" t="str">
        <f t="shared" si="13"/>
        <v>Partial visible</v>
      </c>
    </row>
    <row r="65" spans="1:30" x14ac:dyDescent="0.35">
      <c r="A65" s="118" t="s">
        <v>71</v>
      </c>
      <c r="B65" s="119"/>
      <c r="C65" s="119"/>
      <c r="D65" s="119"/>
      <c r="E65" s="222">
        <v>0.6</v>
      </c>
      <c r="F65" s="223">
        <v>7.8</v>
      </c>
      <c r="G65" s="75">
        <f t="shared" si="15"/>
        <v>7.6923076923076927E-2</v>
      </c>
      <c r="H65" s="75">
        <f t="shared" si="16"/>
        <v>0.11353846153846155</v>
      </c>
      <c r="I65" s="75">
        <f t="shared" si="17"/>
        <v>1.1683817323578629E+18</v>
      </c>
      <c r="J65" s="223">
        <v>0.1</v>
      </c>
      <c r="K65" s="75">
        <f t="shared" si="18"/>
        <v>1.3</v>
      </c>
      <c r="L65" s="74">
        <f t="shared" si="19"/>
        <v>0.77282004753331712</v>
      </c>
      <c r="M65" s="74">
        <f t="shared" si="20"/>
        <v>7.7282004753331718E-2</v>
      </c>
      <c r="N65" s="74">
        <f t="shared" si="21"/>
        <v>6.7730296300672732E-2</v>
      </c>
      <c r="O65" s="223">
        <f t="shared" si="22"/>
        <v>6.741573033707865E-2</v>
      </c>
      <c r="P65" s="223">
        <f t="shared" si="23"/>
        <v>3.1456596359408229E-4</v>
      </c>
      <c r="Q65" s="75"/>
      <c r="R65" s="75"/>
      <c r="S65" s="75"/>
      <c r="T65" s="75"/>
      <c r="U65" s="75">
        <f t="shared" si="24"/>
        <v>0.47663398165330484</v>
      </c>
      <c r="V65" s="75">
        <f t="shared" si="25"/>
        <v>2.9358626919602528</v>
      </c>
      <c r="W65" s="75">
        <f t="shared" si="26"/>
        <v>0.11358997623334148</v>
      </c>
      <c r="X65" s="75"/>
      <c r="Y65" s="73" t="s">
        <v>51</v>
      </c>
      <c r="Z65" s="224" t="str">
        <f>IF(W65&lt;0.25,"Fully visible",
IF(W65&lt;0.45,"Partial visible",
IF(W65&lt;0.48,"Collapse transition",
"Invisible (Black hole)")))</f>
        <v>Fully visible</v>
      </c>
      <c r="AA65" s="77" t="str">
        <f t="shared" si="27"/>
        <v>Fully visible</v>
      </c>
      <c r="AB65" s="223" t="str">
        <f t="shared" si="13"/>
        <v>Fully visible</v>
      </c>
    </row>
    <row r="66" spans="1:30" x14ac:dyDescent="0.35">
      <c r="A66" s="118" t="s">
        <v>75</v>
      </c>
      <c r="B66" s="119"/>
      <c r="C66" s="119"/>
      <c r="D66" s="119"/>
      <c r="E66" s="222">
        <v>3</v>
      </c>
      <c r="F66" s="223">
        <v>39</v>
      </c>
      <c r="G66" s="75">
        <f t="shared" ref="G66:G97" si="34">E66/F66</f>
        <v>7.6923076923076927E-2</v>
      </c>
      <c r="H66" s="75">
        <f t="shared" ref="H66:H97" si="35">G66*1.476</f>
        <v>0.11353846153846155</v>
      </c>
      <c r="I66" s="75">
        <f t="shared" ref="I66:I97" si="36">(-299792458^2 + SQRT(299792458^4 + 4*G66*S66*299792458^2)) / (2*G66)</f>
        <v>1.1683817323578629E+18</v>
      </c>
      <c r="J66" s="223">
        <v>0.1</v>
      </c>
      <c r="K66" s="75">
        <f t="shared" ref="K66:K97" si="37">J66/G66</f>
        <v>1.3</v>
      </c>
      <c r="L66" s="74">
        <f t="shared" ref="L66:L97" si="38">IF(F66&gt;0, 1 - (2*0.000000000066743 * E66 * 1.98847E+30) / (F66 * 1000 * 299792458^2),0)</f>
        <v>0.77282004753331712</v>
      </c>
      <c r="M66" s="74">
        <f t="shared" ref="M66:M97" si="39">J66*L66</f>
        <v>7.7282004753331718E-2</v>
      </c>
      <c r="N66" s="74">
        <f t="shared" ref="N66:N97" si="40">M66*F66/8.9</f>
        <v>0.33865148150336372</v>
      </c>
      <c r="O66" s="223">
        <f t="shared" ref="O66:O97" si="41">E66/8.9</f>
        <v>0.33707865168539325</v>
      </c>
      <c r="P66" s="223">
        <f t="shared" ref="P66:P97" si="42">N66-O66</f>
        <v>1.5728298179704669E-3</v>
      </c>
      <c r="Q66" s="225"/>
      <c r="R66" s="225"/>
      <c r="S66" s="225"/>
      <c r="T66" s="225"/>
      <c r="U66" s="75">
        <f t="shared" ref="U66:U97" si="43">SQRT(2*0.000000000066743*(E66*1.98847E+30)/(F66*1000))/299792458</f>
        <v>0.47663398165330484</v>
      </c>
      <c r="V66" s="75">
        <f t="shared" ref="V66:V97" si="44">F66/(3*1.476*E66)</f>
        <v>2.9358626919602533</v>
      </c>
      <c r="W66" s="75">
        <f t="shared" ref="W66:W97" si="45">(0.000000000066743*(E66*1.98847E+30))/(F66*1000*299792458^2)</f>
        <v>0.11358997623334147</v>
      </c>
      <c r="X66" s="72"/>
      <c r="Y66" s="73" t="s">
        <v>51</v>
      </c>
      <c r="Z66" s="224" t="str">
        <f>IF(W66&lt;0.25,"Fully visible",
IF(W66&lt;0.45,"Partial visible",
IF(W66&lt;0.48,"Collapse transition",
"Invisible (Black hole)")))</f>
        <v>Fully visible</v>
      </c>
      <c r="AA66" s="77" t="str">
        <f t="shared" ref="AA66:AA97" si="46">IF(V66&gt;2,"Fully visible",
IF(V66&gt;1,"Partial visible",
IF(ABS(V66-1)&lt;=0.05,"Collapse boundary",
IF(V66&gt;0.7,"Collapse transition",
"Invisible (Black hole)"))))</f>
        <v>Fully visible</v>
      </c>
      <c r="AB66" s="223" t="str">
        <f t="shared" si="13"/>
        <v>Fully visible</v>
      </c>
    </row>
    <row r="67" spans="1:30" x14ac:dyDescent="0.35">
      <c r="A67" s="173" t="s">
        <v>54</v>
      </c>
      <c r="B67" s="71">
        <v>0.6</v>
      </c>
      <c r="C67" s="71">
        <v>0.9</v>
      </c>
      <c r="D67" s="72">
        <v>0.77</v>
      </c>
      <c r="E67" s="73">
        <v>0.77</v>
      </c>
      <c r="F67" s="74">
        <v>10.4</v>
      </c>
      <c r="G67" s="75">
        <f t="shared" si="34"/>
        <v>7.4038461538461539E-2</v>
      </c>
      <c r="H67" s="75">
        <f t="shared" si="35"/>
        <v>0.10928076923076924</v>
      </c>
      <c r="I67" s="75">
        <f t="shared" si="36"/>
        <v>1.2139040433723131E+18</v>
      </c>
      <c r="J67" s="74">
        <v>0.1</v>
      </c>
      <c r="K67" s="75">
        <f t="shared" si="37"/>
        <v>1.3506493506493507</v>
      </c>
      <c r="L67" s="74">
        <f t="shared" si="38"/>
        <v>0.78133929575081762</v>
      </c>
      <c r="M67" s="74">
        <f t="shared" si="39"/>
        <v>7.8133929575081765E-2</v>
      </c>
      <c r="N67" s="74">
        <f t="shared" si="40"/>
        <v>9.1302569391106772E-2</v>
      </c>
      <c r="O67" s="74">
        <f t="shared" si="41"/>
        <v>8.6516853932584264E-2</v>
      </c>
      <c r="P67" s="74">
        <f t="shared" si="42"/>
        <v>4.7857154585225076E-3</v>
      </c>
      <c r="Q67" s="75">
        <f>'[1]Mass Min'!M24</f>
        <v>2.9528049109661503E-2</v>
      </c>
      <c r="R67" s="75">
        <f>'[1]Mass Max'!M24</f>
        <v>-1.4134892627642587E-2</v>
      </c>
      <c r="S67" s="75">
        <f>0.000000000066743*(E67*1.98847E+30)/((F67*1000)^2)</f>
        <v>944819424664.38599</v>
      </c>
      <c r="T67" s="75">
        <f>(F67*1000)/S67</f>
        <v>1.1007394353364651E-8</v>
      </c>
      <c r="U67" s="75">
        <f t="shared" si="43"/>
        <v>0.46761170242967864</v>
      </c>
      <c r="V67" s="75">
        <f t="shared" si="44"/>
        <v>3.0502469526859772</v>
      </c>
      <c r="W67" s="75">
        <f t="shared" si="45"/>
        <v>0.10933035212459118</v>
      </c>
      <c r="X67" s="75">
        <f>LOG10(S67)</f>
        <v>11.975348813413499</v>
      </c>
      <c r="Y67" s="73" t="s">
        <v>51</v>
      </c>
      <c r="Z67" s="77" t="str">
        <f>IF(W67&lt;0.25,"Fully visible",
IF(W67&lt;0.3,"Partial visible",
IF(W67&lt;0.32,"Collapse boundary",
"Invisible (Black hole)")))</f>
        <v>Fully visible</v>
      </c>
      <c r="AA67" s="77" t="str">
        <f t="shared" si="46"/>
        <v>Fully visible</v>
      </c>
      <c r="AB67" s="74" t="str">
        <f t="shared" ref="AB67:AB97" si="47">IF(U67&gt;=1,
   IF(E67&gt;=100000,"Supermassive Black hole",
   IF(E67&gt;=100,"Intermediate Black hole",
   "Stellar Black hole")),
IF(P67&gt;0,"Fully visible",
IF(P67&gt;-0.26,"Partial visible",
IF(ABS(P67+0.3)&lt;=0.02,"Collapse boundary",
IF(P67&gt;-0.32,"Collapse transition",
"Invisible (geometric)")))))</f>
        <v>Fully visible</v>
      </c>
      <c r="AC67" s="198">
        <f>E67*1.788E+47</f>
        <v>1.3767600000000001E+47</v>
      </c>
      <c r="AD67" s="198">
        <f>0.000000000066743*(E67*1.98847E+30)^2/(F67*1000)</f>
        <v>1.5044990611550034E+46</v>
      </c>
    </row>
    <row r="68" spans="1:30" x14ac:dyDescent="0.35">
      <c r="A68" s="118" t="s">
        <v>75</v>
      </c>
      <c r="B68" s="119"/>
      <c r="C68" s="119"/>
      <c r="D68" s="119"/>
      <c r="E68" s="222">
        <v>3.4</v>
      </c>
      <c r="F68" s="223">
        <v>44.5</v>
      </c>
      <c r="G68" s="75">
        <f t="shared" si="34"/>
        <v>7.6404494382022473E-2</v>
      </c>
      <c r="H68" s="75">
        <f t="shared" si="35"/>
        <v>0.11277303370786516</v>
      </c>
      <c r="I68" s="75">
        <f t="shared" si="36"/>
        <v>1.176311925111423E+18</v>
      </c>
      <c r="J68" s="223">
        <v>0.1</v>
      </c>
      <c r="K68" s="75">
        <f t="shared" si="37"/>
        <v>1.3088235294117647</v>
      </c>
      <c r="L68" s="74">
        <f t="shared" si="38"/>
        <v>0.77435159777466556</v>
      </c>
      <c r="M68" s="74">
        <f t="shared" si="39"/>
        <v>7.7435159777466567E-2</v>
      </c>
      <c r="N68" s="74">
        <f t="shared" si="40"/>
        <v>0.38717579888733283</v>
      </c>
      <c r="O68" s="223">
        <f t="shared" si="41"/>
        <v>0.38202247191011235</v>
      </c>
      <c r="P68" s="223">
        <f t="shared" si="42"/>
        <v>5.1533269772204848E-3</v>
      </c>
      <c r="Q68" s="225"/>
      <c r="R68" s="225"/>
      <c r="S68" s="225"/>
      <c r="T68" s="225"/>
      <c r="U68" s="75">
        <f t="shared" si="43"/>
        <v>0.47502463328266936</v>
      </c>
      <c r="V68" s="75">
        <f t="shared" si="44"/>
        <v>2.9557893618151869</v>
      </c>
      <c r="W68" s="75">
        <f t="shared" si="45"/>
        <v>0.11282420111266726</v>
      </c>
      <c r="X68" s="72"/>
      <c r="Y68" s="73" t="s">
        <v>51</v>
      </c>
      <c r="Z68" s="224" t="str">
        <f>IF(W68&lt;0.25,"Fully visible",
IF(W68&lt;0.45,"Partial visible",
IF(W68&lt;0.48,"Collapse transition",
"Invisible (Black hole)")))</f>
        <v>Fully visible</v>
      </c>
      <c r="AA68" s="77" t="str">
        <f t="shared" si="46"/>
        <v>Fully visible</v>
      </c>
      <c r="AB68" s="223" t="str">
        <f t="shared" si="47"/>
        <v>Fully visible</v>
      </c>
    </row>
    <row r="69" spans="1:30" ht="15" thickBot="1" x14ac:dyDescent="0.4">
      <c r="A69" s="121" t="s">
        <v>75</v>
      </c>
      <c r="B69" s="122"/>
      <c r="C69" s="122"/>
      <c r="D69" s="122"/>
      <c r="E69" s="226">
        <v>2.8</v>
      </c>
      <c r="F69" s="227">
        <v>37</v>
      </c>
      <c r="G69" s="84">
        <f t="shared" si="34"/>
        <v>7.5675675675675666E-2</v>
      </c>
      <c r="H69" s="84">
        <f t="shared" si="35"/>
        <v>0.11169729729729728</v>
      </c>
      <c r="I69" s="84">
        <f t="shared" si="36"/>
        <v>1.1876407719022234E+18</v>
      </c>
      <c r="J69" s="227">
        <v>0.1</v>
      </c>
      <c r="K69" s="84">
        <f t="shared" si="37"/>
        <v>1.3214285714285716</v>
      </c>
      <c r="L69" s="83">
        <f t="shared" si="38"/>
        <v>0.77650404676250651</v>
      </c>
      <c r="M69" s="83">
        <f t="shared" si="39"/>
        <v>7.7650404676250659E-2</v>
      </c>
      <c r="N69" s="83">
        <f t="shared" si="40"/>
        <v>0.32281628910351395</v>
      </c>
      <c r="O69" s="227">
        <f t="shared" si="41"/>
        <v>0.3146067415730337</v>
      </c>
      <c r="P69" s="227">
        <f t="shared" si="42"/>
        <v>8.2095475304802545E-3</v>
      </c>
      <c r="Q69" s="228"/>
      <c r="R69" s="228"/>
      <c r="S69" s="228"/>
      <c r="T69" s="228"/>
      <c r="U69" s="84">
        <f t="shared" si="43"/>
        <v>0.47275358617094965</v>
      </c>
      <c r="V69" s="84">
        <f t="shared" si="44"/>
        <v>2.9842560330365213</v>
      </c>
      <c r="W69" s="84">
        <f t="shared" si="45"/>
        <v>0.11174797661874673</v>
      </c>
      <c r="X69" s="81"/>
      <c r="Y69" s="82" t="s">
        <v>51</v>
      </c>
      <c r="Z69" s="229" t="str">
        <f>IF(W69&lt;0.25,"Fully visible",
IF(W69&lt;0.45,"Partial visible",
IF(W69&lt;0.48,"Collapse transition",
"Invisible (Black hole)")))</f>
        <v>Fully visible</v>
      </c>
      <c r="AA69" s="77" t="str">
        <f t="shared" si="46"/>
        <v>Fully visible</v>
      </c>
      <c r="AB69" s="227" t="str">
        <f t="shared" si="47"/>
        <v>Fully visible</v>
      </c>
    </row>
    <row r="70" spans="1:30" x14ac:dyDescent="0.35">
      <c r="A70" s="168" t="s">
        <v>55</v>
      </c>
      <c r="B70" s="89"/>
      <c r="C70" s="89"/>
      <c r="D70" s="75"/>
      <c r="E70" s="64">
        <f>1.76E-20</f>
        <v>1.76E-20</v>
      </c>
      <c r="F70" s="65">
        <v>0.16500000000000001</v>
      </c>
      <c r="G70" s="66">
        <f t="shared" si="34"/>
        <v>1.0666666666666666E-19</v>
      </c>
      <c r="H70" s="66">
        <f t="shared" si="35"/>
        <v>1.5744E-19</v>
      </c>
      <c r="I70" s="66">
        <f t="shared" si="36"/>
        <v>8.4258298006576654E+35</v>
      </c>
      <c r="J70" s="65">
        <v>1</v>
      </c>
      <c r="K70" s="66">
        <f t="shared" si="37"/>
        <v>9.375E+18</v>
      </c>
      <c r="L70" s="65">
        <f t="shared" si="38"/>
        <v>1</v>
      </c>
      <c r="M70" s="65">
        <f t="shared" si="39"/>
        <v>1</v>
      </c>
      <c r="N70" s="65">
        <f t="shared" si="40"/>
        <v>1.853932584269663E-2</v>
      </c>
      <c r="O70" s="65">
        <f t="shared" si="41"/>
        <v>1.9775280898876402E-21</v>
      </c>
      <c r="P70" s="65">
        <f t="shared" si="42"/>
        <v>1.853932584269663E-2</v>
      </c>
      <c r="Q70" s="66">
        <f>'[1]Mass Min'!M24</f>
        <v>2.9528049109661503E-2</v>
      </c>
      <c r="R70" s="66">
        <f>'[1]Mass Max'!M24</f>
        <v>-1.4134892627642587E-2</v>
      </c>
      <c r="S70" s="66">
        <f>0.000000000066743*(E70*1.98847E+30)/((F70*1000)^2)</f>
        <v>8.5796495004444433E-5</v>
      </c>
      <c r="T70" s="66">
        <f>(F70*1000)/S70</f>
        <v>1923155.4854478922</v>
      </c>
      <c r="U70" s="66">
        <f t="shared" si="43"/>
        <v>5.6126897956369105E-10</v>
      </c>
      <c r="V70" s="66">
        <f t="shared" si="44"/>
        <v>2.117208672086721E+18</v>
      </c>
      <c r="W70" s="66">
        <f t="shared" si="45"/>
        <v>1.5751143371023349E-19</v>
      </c>
      <c r="X70" s="66">
        <f>LOG10(S70)</f>
        <v>-4.0665304537750853</v>
      </c>
      <c r="Y70" s="66" t="s">
        <v>51</v>
      </c>
      <c r="Z70" s="195" t="str">
        <f>IF(W70&lt;0.25,"Fully visible",
IF(W70&lt;0.3,"Partial visible",
IF(W70&lt;0.32,"Collapse boundary",
"Invisible (Black hole)")))</f>
        <v>Fully visible</v>
      </c>
      <c r="AA70" s="77" t="str">
        <f t="shared" si="46"/>
        <v>Fully visible</v>
      </c>
      <c r="AB70" s="65" t="str">
        <f t="shared" si="47"/>
        <v>Fully visible</v>
      </c>
      <c r="AC70" s="198">
        <f>E70*1.788E+47</f>
        <v>3.1468800000000001E+27</v>
      </c>
      <c r="AD70" s="198">
        <f>0.000000000066743*(E70*1.98847E+30)^2/(F70*1000)</f>
        <v>495433308.64800006</v>
      </c>
    </row>
    <row r="71" spans="1:30" x14ac:dyDescent="0.35">
      <c r="A71" s="90" t="s">
        <v>56</v>
      </c>
      <c r="B71" s="75"/>
      <c r="C71" s="75"/>
      <c r="D71" s="75">
        <v>3.7000000000000001E-20</v>
      </c>
      <c r="E71" s="73">
        <v>3.7000000000000001E-20</v>
      </c>
      <c r="F71" s="74">
        <v>0.245</v>
      </c>
      <c r="G71" s="75">
        <f t="shared" si="34"/>
        <v>1.510204081632653E-19</v>
      </c>
      <c r="H71" s="75">
        <f t="shared" si="35"/>
        <v>2.2290612244897957E-19</v>
      </c>
      <c r="I71" s="75">
        <f t="shared" si="36"/>
        <v>5.951216724068117E+35</v>
      </c>
      <c r="J71" s="74">
        <v>1</v>
      </c>
      <c r="K71" s="75">
        <f t="shared" si="37"/>
        <v>6.6216216216216218E+18</v>
      </c>
      <c r="L71" s="74">
        <f t="shared" si="38"/>
        <v>1</v>
      </c>
      <c r="M71" s="74">
        <f t="shared" si="39"/>
        <v>1</v>
      </c>
      <c r="N71" s="74">
        <f t="shared" si="40"/>
        <v>2.7528089887640449E-2</v>
      </c>
      <c r="O71" s="74">
        <f t="shared" si="41"/>
        <v>4.157303370786517E-21</v>
      </c>
      <c r="P71" s="74">
        <f t="shared" si="42"/>
        <v>2.7528089887640449E-2</v>
      </c>
      <c r="Q71" s="75">
        <f>'[1]Mass Min'!M25</f>
        <v>2.7528089887640449E-2</v>
      </c>
      <c r="R71" s="75">
        <f>'[1]Mass Max'!M25</f>
        <v>2.7528089887640449E-2</v>
      </c>
      <c r="S71" s="75">
        <f>0.000000000066743*(E71*1.98847E+30)/((F71*1000)^2)</f>
        <v>8.1807726260224904E-5</v>
      </c>
      <c r="T71" s="75">
        <f>(F71*1000)/S71</f>
        <v>2994827.1538640666</v>
      </c>
      <c r="U71" s="75">
        <f t="shared" si="43"/>
        <v>6.6784318438117322E-10</v>
      </c>
      <c r="V71" s="75">
        <f t="shared" si="44"/>
        <v>1.4953978368612516E+18</v>
      </c>
      <c r="W71" s="75">
        <f t="shared" si="45"/>
        <v>2.2300725946219287E-19</v>
      </c>
      <c r="X71" s="75">
        <f>LOG10(S71)</f>
        <v>-4.0872056778234924</v>
      </c>
      <c r="Y71" s="75" t="s">
        <v>51</v>
      </c>
      <c r="Z71" s="194" t="str">
        <f>IF(W71&lt;0.25,"Fully visible",
IF(W71&lt;0.3,"Partial visible",
IF(W71&lt;0.32,"Collapse boundary",
"Invisible (Black hole)")))</f>
        <v>Fully visible</v>
      </c>
      <c r="AA71" s="77" t="str">
        <f t="shared" si="46"/>
        <v>Fully visible</v>
      </c>
      <c r="AB71" s="74" t="str">
        <f t="shared" si="47"/>
        <v>Fully visible</v>
      </c>
      <c r="AC71" s="198">
        <f>E71*1.788E+47</f>
        <v>6.6155999999999999E+27</v>
      </c>
      <c r="AD71" s="198">
        <f>0.000000000066743*(E71*1.98847E+30)^2/(F71*1000)</f>
        <v>1474623578.5434082</v>
      </c>
    </row>
    <row r="72" spans="1:30" x14ac:dyDescent="0.35">
      <c r="A72" s="34" t="s">
        <v>77</v>
      </c>
      <c r="B72" s="125"/>
      <c r="C72" s="125"/>
      <c r="D72" s="125"/>
      <c r="E72" s="230">
        <v>3</v>
      </c>
      <c r="F72" s="231">
        <v>14.4</v>
      </c>
      <c r="G72" s="75">
        <f t="shared" si="34"/>
        <v>0.20833333333333331</v>
      </c>
      <c r="H72" s="75">
        <f t="shared" si="35"/>
        <v>0.3075</v>
      </c>
      <c r="I72" s="75">
        <f t="shared" si="36"/>
        <v>4.3140248579367251E+17</v>
      </c>
      <c r="J72" s="231">
        <v>0.6</v>
      </c>
      <c r="K72" s="75">
        <f t="shared" si="37"/>
        <v>2.8800000000000003</v>
      </c>
      <c r="L72" s="74">
        <f t="shared" si="38"/>
        <v>0.38472096206940043</v>
      </c>
      <c r="M72" s="74">
        <f t="shared" si="39"/>
        <v>0.23083257724164025</v>
      </c>
      <c r="N72" s="74">
        <f t="shared" si="40"/>
        <v>0.37348192272804709</v>
      </c>
      <c r="O72" s="231">
        <f t="shared" si="41"/>
        <v>0.33707865168539325</v>
      </c>
      <c r="P72" s="231">
        <f t="shared" si="42"/>
        <v>3.640327104265384E-2</v>
      </c>
      <c r="Q72" s="225"/>
      <c r="R72" s="225"/>
      <c r="S72" s="225"/>
      <c r="T72" s="225"/>
      <c r="U72" s="75">
        <f t="shared" si="43"/>
        <v>0.78439724497897079</v>
      </c>
      <c r="V72" s="75">
        <f t="shared" si="44"/>
        <v>1.0840108401084012</v>
      </c>
      <c r="W72" s="75">
        <f t="shared" si="45"/>
        <v>0.30763951896529979</v>
      </c>
      <c r="X72" s="72"/>
      <c r="Y72" s="75"/>
      <c r="Z72" s="232" t="str">
        <f t="shared" ref="Z72:Z83" si="48">IF(W72&lt;0.25,"Fully visible",
IF(W72&lt;0.45,"Partial visible",
IF(W72&lt;0.48,"Collapse transition",
"Invisible (Black hole)")))</f>
        <v>Partial visible</v>
      </c>
      <c r="AA72" s="77" t="str">
        <f t="shared" si="46"/>
        <v>Partial visible</v>
      </c>
      <c r="AB72" s="231" t="str">
        <f t="shared" si="47"/>
        <v>Fully visible</v>
      </c>
    </row>
    <row r="73" spans="1:30" ht="15" thickBot="1" x14ac:dyDescent="0.4">
      <c r="A73" s="34" t="s">
        <v>77</v>
      </c>
      <c r="B73" s="125"/>
      <c r="C73" s="125"/>
      <c r="D73" s="125"/>
      <c r="E73" s="230">
        <v>1</v>
      </c>
      <c r="F73" s="231">
        <v>10</v>
      </c>
      <c r="G73" s="75">
        <f t="shared" si="34"/>
        <v>0.1</v>
      </c>
      <c r="H73" s="75">
        <f t="shared" si="35"/>
        <v>0.14760000000000001</v>
      </c>
      <c r="I73" s="75">
        <f t="shared" si="36"/>
        <v>8.9875517873681754E+17</v>
      </c>
      <c r="J73" s="231">
        <v>0.2</v>
      </c>
      <c r="K73" s="75">
        <f t="shared" si="37"/>
        <v>2</v>
      </c>
      <c r="L73" s="74">
        <f t="shared" si="38"/>
        <v>0.70466606179331215</v>
      </c>
      <c r="M73" s="74">
        <f t="shared" si="39"/>
        <v>0.14093321235866244</v>
      </c>
      <c r="N73" s="74">
        <f t="shared" si="40"/>
        <v>0.1583519239984971</v>
      </c>
      <c r="O73" s="231">
        <f t="shared" si="41"/>
        <v>0.11235955056179775</v>
      </c>
      <c r="P73" s="231">
        <f t="shared" si="42"/>
        <v>4.5992373436699346E-2</v>
      </c>
      <c r="Q73" s="225"/>
      <c r="R73" s="225"/>
      <c r="S73" s="225"/>
      <c r="T73" s="225"/>
      <c r="U73" s="75">
        <f t="shared" si="43"/>
        <v>0.54344635264825158</v>
      </c>
      <c r="V73" s="75">
        <f t="shared" si="44"/>
        <v>2.2583559168925023</v>
      </c>
      <c r="W73" s="75">
        <f t="shared" si="45"/>
        <v>0.14766696910334393</v>
      </c>
      <c r="X73" s="72"/>
      <c r="Y73" s="75"/>
      <c r="Z73" s="232" t="str">
        <f t="shared" si="48"/>
        <v>Fully visible</v>
      </c>
      <c r="AA73" s="77" t="str">
        <f t="shared" si="46"/>
        <v>Fully visible</v>
      </c>
      <c r="AB73" s="231" t="str">
        <f t="shared" si="47"/>
        <v>Fully visible</v>
      </c>
    </row>
    <row r="74" spans="1:30" x14ac:dyDescent="0.35">
      <c r="A74" s="34" t="s">
        <v>77</v>
      </c>
      <c r="B74" s="125"/>
      <c r="C74" s="125"/>
      <c r="D74" s="125"/>
      <c r="E74" s="233">
        <v>2</v>
      </c>
      <c r="F74" s="234">
        <v>12.6</v>
      </c>
      <c r="G74" s="66">
        <f t="shared" si="34"/>
        <v>0.15873015873015872</v>
      </c>
      <c r="H74" s="66">
        <f t="shared" si="35"/>
        <v>0.23428571428571426</v>
      </c>
      <c r="I74" s="66">
        <f t="shared" si="36"/>
        <v>5.6621576260419514E+17</v>
      </c>
      <c r="J74" s="234">
        <v>0.4</v>
      </c>
      <c r="K74" s="66">
        <f t="shared" si="37"/>
        <v>2.5200000000000005</v>
      </c>
      <c r="L74" s="65">
        <f t="shared" si="38"/>
        <v>0.53121597110049557</v>
      </c>
      <c r="M74" s="65">
        <f t="shared" si="39"/>
        <v>0.21248638844019824</v>
      </c>
      <c r="N74" s="65">
        <f t="shared" si="40"/>
        <v>0.30082342633106712</v>
      </c>
      <c r="O74" s="234">
        <f t="shared" si="41"/>
        <v>0.2247191011235955</v>
      </c>
      <c r="P74" s="234">
        <f t="shared" si="42"/>
        <v>7.6104325207471624E-2</v>
      </c>
      <c r="Q74" s="235"/>
      <c r="R74" s="235"/>
      <c r="S74" s="235"/>
      <c r="T74" s="235"/>
      <c r="U74" s="66">
        <f t="shared" si="43"/>
        <v>0.68467804762494344</v>
      </c>
      <c r="V74" s="66">
        <f t="shared" si="44"/>
        <v>1.4227642276422765</v>
      </c>
      <c r="W74" s="66">
        <f t="shared" si="45"/>
        <v>0.23439201444975225</v>
      </c>
      <c r="X74" s="63"/>
      <c r="Y74" s="66"/>
      <c r="Z74" s="236" t="str">
        <f t="shared" si="48"/>
        <v>Fully visible</v>
      </c>
      <c r="AA74" s="77" t="str">
        <f t="shared" si="46"/>
        <v>Partial visible</v>
      </c>
      <c r="AB74" s="234" t="str">
        <f t="shared" si="47"/>
        <v>Fully visible</v>
      </c>
    </row>
    <row r="75" spans="1:30" x14ac:dyDescent="0.35">
      <c r="A75" s="34" t="s">
        <v>77</v>
      </c>
      <c r="B75" s="125"/>
      <c r="C75" s="125"/>
      <c r="D75" s="125"/>
      <c r="E75" s="230">
        <v>3</v>
      </c>
      <c r="F75" s="231">
        <v>14.4</v>
      </c>
      <c r="G75" s="75">
        <f t="shared" si="34"/>
        <v>0.20833333333333331</v>
      </c>
      <c r="H75" s="75">
        <f t="shared" si="35"/>
        <v>0.3075</v>
      </c>
      <c r="I75" s="75">
        <f t="shared" si="36"/>
        <v>4.3140248579367251E+17</v>
      </c>
      <c r="J75" s="231">
        <v>0.8</v>
      </c>
      <c r="K75" s="75">
        <f t="shared" si="37"/>
        <v>3.8400000000000007</v>
      </c>
      <c r="L75" s="74">
        <f t="shared" si="38"/>
        <v>0.38472096206940043</v>
      </c>
      <c r="M75" s="74">
        <f t="shared" si="39"/>
        <v>0.30777676965552037</v>
      </c>
      <c r="N75" s="74">
        <f t="shared" si="40"/>
        <v>0.49797589697072964</v>
      </c>
      <c r="O75" s="231">
        <f t="shared" si="41"/>
        <v>0.33707865168539325</v>
      </c>
      <c r="P75" s="231">
        <f t="shared" si="42"/>
        <v>0.16089724528533639</v>
      </c>
      <c r="Q75" s="225"/>
      <c r="R75" s="225"/>
      <c r="S75" s="225"/>
      <c r="T75" s="225"/>
      <c r="U75" s="75">
        <f t="shared" si="43"/>
        <v>0.78439724497897079</v>
      </c>
      <c r="V75" s="75">
        <f t="shared" si="44"/>
        <v>1.0840108401084012</v>
      </c>
      <c r="W75" s="75">
        <f t="shared" si="45"/>
        <v>0.30763951896529979</v>
      </c>
      <c r="X75" s="72"/>
      <c r="Y75" s="75"/>
      <c r="Z75" s="232" t="str">
        <f t="shared" si="48"/>
        <v>Partial visible</v>
      </c>
      <c r="AA75" s="77" t="str">
        <f t="shared" si="46"/>
        <v>Partial visible</v>
      </c>
      <c r="AB75" s="231" t="str">
        <f t="shared" si="47"/>
        <v>Fully visible</v>
      </c>
    </row>
    <row r="76" spans="1:30" x14ac:dyDescent="0.35">
      <c r="A76" s="34" t="s">
        <v>77</v>
      </c>
      <c r="B76" s="125"/>
      <c r="C76" s="125"/>
      <c r="D76" s="125"/>
      <c r="E76" s="230">
        <v>1</v>
      </c>
      <c r="F76" s="231">
        <v>10</v>
      </c>
      <c r="G76" s="75">
        <f t="shared" si="34"/>
        <v>0.1</v>
      </c>
      <c r="H76" s="75">
        <f t="shared" si="35"/>
        <v>0.14760000000000001</v>
      </c>
      <c r="I76" s="75">
        <f t="shared" si="36"/>
        <v>8.9875517873681754E+17</v>
      </c>
      <c r="J76" s="231">
        <v>0.4</v>
      </c>
      <c r="K76" s="75">
        <f t="shared" si="37"/>
        <v>4</v>
      </c>
      <c r="L76" s="74">
        <f t="shared" si="38"/>
        <v>0.70466606179331215</v>
      </c>
      <c r="M76" s="74">
        <f t="shared" si="39"/>
        <v>0.28186642471732487</v>
      </c>
      <c r="N76" s="74">
        <f t="shared" si="40"/>
        <v>0.31670384799699419</v>
      </c>
      <c r="O76" s="231">
        <f t="shared" si="41"/>
        <v>0.11235955056179775</v>
      </c>
      <c r="P76" s="231">
        <f t="shared" si="42"/>
        <v>0.20434429743519644</v>
      </c>
      <c r="Q76" s="225"/>
      <c r="R76" s="225"/>
      <c r="S76" s="225"/>
      <c r="T76" s="225"/>
      <c r="U76" s="75">
        <f t="shared" si="43"/>
        <v>0.54344635264825158</v>
      </c>
      <c r="V76" s="75">
        <f t="shared" si="44"/>
        <v>2.2583559168925023</v>
      </c>
      <c r="W76" s="75">
        <f t="shared" si="45"/>
        <v>0.14766696910334393</v>
      </c>
      <c r="X76" s="72"/>
      <c r="Y76" s="75"/>
      <c r="Z76" s="232" t="str">
        <f t="shared" si="48"/>
        <v>Fully visible</v>
      </c>
      <c r="AA76" s="77" t="str">
        <f t="shared" si="46"/>
        <v>Fully visible</v>
      </c>
      <c r="AB76" s="231" t="str">
        <f t="shared" si="47"/>
        <v>Fully visible</v>
      </c>
    </row>
    <row r="77" spans="1:30" ht="15" thickBot="1" x14ac:dyDescent="0.4">
      <c r="A77" s="34" t="s">
        <v>77</v>
      </c>
      <c r="B77" s="125"/>
      <c r="C77" s="125"/>
      <c r="D77" s="125"/>
      <c r="E77" s="230">
        <v>2</v>
      </c>
      <c r="F77" s="231">
        <v>12.6</v>
      </c>
      <c r="G77" s="75">
        <f t="shared" si="34"/>
        <v>0.15873015873015872</v>
      </c>
      <c r="H77" s="75">
        <f t="shared" si="35"/>
        <v>0.23428571428571426</v>
      </c>
      <c r="I77" s="75">
        <f t="shared" si="36"/>
        <v>5.6621576260419514E+17</v>
      </c>
      <c r="J77" s="231">
        <v>0.6</v>
      </c>
      <c r="K77" s="75">
        <f t="shared" si="37"/>
        <v>3.7800000000000002</v>
      </c>
      <c r="L77" s="74">
        <f t="shared" si="38"/>
        <v>0.53121597110049557</v>
      </c>
      <c r="M77" s="74">
        <f t="shared" si="39"/>
        <v>0.31872958266029733</v>
      </c>
      <c r="N77" s="74">
        <f t="shared" si="40"/>
        <v>0.45123513949660066</v>
      </c>
      <c r="O77" s="231">
        <f t="shared" si="41"/>
        <v>0.2247191011235955</v>
      </c>
      <c r="P77" s="231">
        <f t="shared" si="42"/>
        <v>0.22651603837300516</v>
      </c>
      <c r="Q77" s="225"/>
      <c r="R77" s="225"/>
      <c r="S77" s="225"/>
      <c r="T77" s="225"/>
      <c r="U77" s="75">
        <f t="shared" si="43"/>
        <v>0.68467804762494344</v>
      </c>
      <c r="V77" s="75">
        <f t="shared" si="44"/>
        <v>1.4227642276422765</v>
      </c>
      <c r="W77" s="75">
        <f t="shared" si="45"/>
        <v>0.23439201444975225</v>
      </c>
      <c r="X77" s="72"/>
      <c r="Y77" s="75"/>
      <c r="Z77" s="232" t="str">
        <f t="shared" si="48"/>
        <v>Fully visible</v>
      </c>
      <c r="AA77" s="77" t="str">
        <f t="shared" si="46"/>
        <v>Partial visible</v>
      </c>
      <c r="AB77" s="231" t="str">
        <f t="shared" si="47"/>
        <v>Fully visible</v>
      </c>
    </row>
    <row r="78" spans="1:30" x14ac:dyDescent="0.35">
      <c r="A78" s="34" t="s">
        <v>77</v>
      </c>
      <c r="B78" s="125"/>
      <c r="C78" s="125"/>
      <c r="D78" s="125"/>
      <c r="E78" s="233">
        <v>3</v>
      </c>
      <c r="F78" s="234">
        <v>14.4</v>
      </c>
      <c r="G78" s="66">
        <f t="shared" si="34"/>
        <v>0.20833333333333331</v>
      </c>
      <c r="H78" s="66">
        <f t="shared" si="35"/>
        <v>0.3075</v>
      </c>
      <c r="I78" s="66">
        <f t="shared" si="36"/>
        <v>4.3140248579367251E+17</v>
      </c>
      <c r="J78" s="234">
        <v>1</v>
      </c>
      <c r="K78" s="66">
        <f t="shared" si="37"/>
        <v>4.8000000000000007</v>
      </c>
      <c r="L78" s="65">
        <f t="shared" si="38"/>
        <v>0.38472096206940043</v>
      </c>
      <c r="M78" s="65">
        <f t="shared" si="39"/>
        <v>0.38472096206940043</v>
      </c>
      <c r="N78" s="65">
        <f t="shared" si="40"/>
        <v>0.62246987121341191</v>
      </c>
      <c r="O78" s="234">
        <f t="shared" si="41"/>
        <v>0.33707865168539325</v>
      </c>
      <c r="P78" s="234">
        <f t="shared" si="42"/>
        <v>0.28539121952801866</v>
      </c>
      <c r="Q78" s="235"/>
      <c r="R78" s="235"/>
      <c r="S78" s="235"/>
      <c r="T78" s="235"/>
      <c r="U78" s="66">
        <f t="shared" si="43"/>
        <v>0.78439724497897079</v>
      </c>
      <c r="V78" s="66">
        <f t="shared" si="44"/>
        <v>1.0840108401084012</v>
      </c>
      <c r="W78" s="66">
        <f t="shared" si="45"/>
        <v>0.30763951896529979</v>
      </c>
      <c r="X78" s="63"/>
      <c r="Y78" s="66"/>
      <c r="Z78" s="236" t="str">
        <f t="shared" si="48"/>
        <v>Partial visible</v>
      </c>
      <c r="AA78" s="77" t="str">
        <f t="shared" si="46"/>
        <v>Partial visible</v>
      </c>
      <c r="AB78" s="234" t="str">
        <f t="shared" si="47"/>
        <v>Fully visible</v>
      </c>
    </row>
    <row r="79" spans="1:30" x14ac:dyDescent="0.35">
      <c r="A79" s="34" t="s">
        <v>77</v>
      </c>
      <c r="B79" s="125"/>
      <c r="C79" s="125"/>
      <c r="D79" s="125"/>
      <c r="E79" s="230">
        <v>1</v>
      </c>
      <c r="F79" s="231">
        <v>10</v>
      </c>
      <c r="G79" s="75">
        <f t="shared" si="34"/>
        <v>0.1</v>
      </c>
      <c r="H79" s="75">
        <f t="shared" si="35"/>
        <v>0.14760000000000001</v>
      </c>
      <c r="I79" s="75">
        <f t="shared" si="36"/>
        <v>8.9875517873681754E+17</v>
      </c>
      <c r="J79" s="231">
        <v>0.6</v>
      </c>
      <c r="K79" s="75">
        <f t="shared" si="37"/>
        <v>5.9999999999999991</v>
      </c>
      <c r="L79" s="74">
        <f t="shared" si="38"/>
        <v>0.70466606179331215</v>
      </c>
      <c r="M79" s="74">
        <f t="shared" si="39"/>
        <v>0.42279963707598728</v>
      </c>
      <c r="N79" s="74">
        <f t="shared" si="40"/>
        <v>0.47505577199549132</v>
      </c>
      <c r="O79" s="231">
        <f t="shared" si="41"/>
        <v>0.11235955056179775</v>
      </c>
      <c r="P79" s="231">
        <f t="shared" si="42"/>
        <v>0.36269622143369357</v>
      </c>
      <c r="Q79" s="225"/>
      <c r="R79" s="225"/>
      <c r="S79" s="225"/>
      <c r="T79" s="225"/>
      <c r="U79" s="75">
        <f t="shared" si="43"/>
        <v>0.54344635264825158</v>
      </c>
      <c r="V79" s="75">
        <f t="shared" si="44"/>
        <v>2.2583559168925023</v>
      </c>
      <c r="W79" s="75">
        <f t="shared" si="45"/>
        <v>0.14766696910334393</v>
      </c>
      <c r="X79" s="72"/>
      <c r="Y79" s="75"/>
      <c r="Z79" s="232" t="str">
        <f t="shared" si="48"/>
        <v>Fully visible</v>
      </c>
      <c r="AA79" s="77" t="str">
        <f t="shared" si="46"/>
        <v>Fully visible</v>
      </c>
      <c r="AB79" s="231" t="str">
        <f t="shared" si="47"/>
        <v>Fully visible</v>
      </c>
    </row>
    <row r="80" spans="1:30" x14ac:dyDescent="0.35">
      <c r="A80" s="34" t="s">
        <v>77</v>
      </c>
      <c r="B80" s="125"/>
      <c r="C80" s="125"/>
      <c r="D80" s="125"/>
      <c r="E80" s="230">
        <v>2</v>
      </c>
      <c r="F80" s="231">
        <v>12.6</v>
      </c>
      <c r="G80" s="75">
        <f t="shared" si="34"/>
        <v>0.15873015873015872</v>
      </c>
      <c r="H80" s="75">
        <f t="shared" si="35"/>
        <v>0.23428571428571426</v>
      </c>
      <c r="I80" s="75">
        <f t="shared" si="36"/>
        <v>5.6621576260419514E+17</v>
      </c>
      <c r="J80" s="231">
        <v>0.8</v>
      </c>
      <c r="K80" s="75">
        <f t="shared" si="37"/>
        <v>5.0400000000000009</v>
      </c>
      <c r="L80" s="74">
        <f t="shared" si="38"/>
        <v>0.53121597110049557</v>
      </c>
      <c r="M80" s="74">
        <f t="shared" si="39"/>
        <v>0.42497277688039647</v>
      </c>
      <c r="N80" s="74">
        <f t="shared" si="40"/>
        <v>0.60164685266213425</v>
      </c>
      <c r="O80" s="231">
        <f t="shared" si="41"/>
        <v>0.2247191011235955</v>
      </c>
      <c r="P80" s="231">
        <f t="shared" si="42"/>
        <v>0.37692775153853875</v>
      </c>
      <c r="Q80" s="225"/>
      <c r="R80" s="225"/>
      <c r="S80" s="225"/>
      <c r="T80" s="225"/>
      <c r="U80" s="75">
        <f t="shared" si="43"/>
        <v>0.68467804762494344</v>
      </c>
      <c r="V80" s="75">
        <f t="shared" si="44"/>
        <v>1.4227642276422765</v>
      </c>
      <c r="W80" s="75">
        <f t="shared" si="45"/>
        <v>0.23439201444975225</v>
      </c>
      <c r="X80" s="72"/>
      <c r="Y80" s="75"/>
      <c r="Z80" s="232" t="str">
        <f t="shared" si="48"/>
        <v>Fully visible</v>
      </c>
      <c r="AA80" s="77" t="str">
        <f t="shared" si="46"/>
        <v>Partial visible</v>
      </c>
      <c r="AB80" s="231" t="str">
        <f t="shared" si="47"/>
        <v>Fully visible</v>
      </c>
    </row>
    <row r="81" spans="1:30" ht="15" thickBot="1" x14ac:dyDescent="0.4">
      <c r="A81" s="34" t="s">
        <v>77</v>
      </c>
      <c r="B81" s="125"/>
      <c r="C81" s="125"/>
      <c r="D81" s="125"/>
      <c r="E81" s="230">
        <v>1</v>
      </c>
      <c r="F81" s="231">
        <v>10</v>
      </c>
      <c r="G81" s="75">
        <f t="shared" si="34"/>
        <v>0.1</v>
      </c>
      <c r="H81" s="75">
        <f t="shared" si="35"/>
        <v>0.14760000000000001</v>
      </c>
      <c r="I81" s="75">
        <f t="shared" si="36"/>
        <v>8.9875517873681754E+17</v>
      </c>
      <c r="J81" s="231">
        <v>0.8</v>
      </c>
      <c r="K81" s="75">
        <f t="shared" si="37"/>
        <v>8</v>
      </c>
      <c r="L81" s="74">
        <f t="shared" si="38"/>
        <v>0.70466606179331215</v>
      </c>
      <c r="M81" s="74">
        <f t="shared" si="39"/>
        <v>0.56373284943464974</v>
      </c>
      <c r="N81" s="74">
        <f t="shared" si="40"/>
        <v>0.63340769599398838</v>
      </c>
      <c r="O81" s="231">
        <f t="shared" si="41"/>
        <v>0.11235955056179775</v>
      </c>
      <c r="P81" s="231">
        <f t="shared" si="42"/>
        <v>0.52104814543219069</v>
      </c>
      <c r="Q81" s="225"/>
      <c r="R81" s="225"/>
      <c r="S81" s="225"/>
      <c r="T81" s="225"/>
      <c r="U81" s="75">
        <f t="shared" si="43"/>
        <v>0.54344635264825158</v>
      </c>
      <c r="V81" s="75">
        <f t="shared" si="44"/>
        <v>2.2583559168925023</v>
      </c>
      <c r="W81" s="75">
        <f t="shared" si="45"/>
        <v>0.14766696910334393</v>
      </c>
      <c r="X81" s="72"/>
      <c r="Y81" s="75"/>
      <c r="Z81" s="232" t="str">
        <f t="shared" si="48"/>
        <v>Fully visible</v>
      </c>
      <c r="AA81" s="77" t="str">
        <f t="shared" si="46"/>
        <v>Fully visible</v>
      </c>
      <c r="AB81" s="231" t="str">
        <f t="shared" si="47"/>
        <v>Fully visible</v>
      </c>
    </row>
    <row r="82" spans="1:30" x14ac:dyDescent="0.35">
      <c r="A82" s="34" t="s">
        <v>77</v>
      </c>
      <c r="B82" s="125"/>
      <c r="C82" s="125"/>
      <c r="D82" s="125"/>
      <c r="E82" s="233">
        <v>2</v>
      </c>
      <c r="F82" s="234">
        <v>12.6</v>
      </c>
      <c r="G82" s="66">
        <f t="shared" si="34"/>
        <v>0.15873015873015872</v>
      </c>
      <c r="H82" s="66">
        <f t="shared" si="35"/>
        <v>0.23428571428571426</v>
      </c>
      <c r="I82" s="66">
        <f t="shared" si="36"/>
        <v>5.6621576260419514E+17</v>
      </c>
      <c r="J82" s="234">
        <v>1</v>
      </c>
      <c r="K82" s="66">
        <f t="shared" si="37"/>
        <v>6.3000000000000007</v>
      </c>
      <c r="L82" s="65">
        <f t="shared" si="38"/>
        <v>0.53121597110049557</v>
      </c>
      <c r="M82" s="65">
        <f t="shared" si="39"/>
        <v>0.53121597110049557</v>
      </c>
      <c r="N82" s="65">
        <f t="shared" si="40"/>
        <v>0.75205856582766784</v>
      </c>
      <c r="O82" s="234">
        <f t="shared" si="41"/>
        <v>0.2247191011235955</v>
      </c>
      <c r="P82" s="234">
        <f t="shared" si="42"/>
        <v>0.52733946470407234</v>
      </c>
      <c r="Q82" s="235"/>
      <c r="R82" s="235"/>
      <c r="S82" s="235"/>
      <c r="T82" s="235"/>
      <c r="U82" s="66">
        <f t="shared" si="43"/>
        <v>0.68467804762494344</v>
      </c>
      <c r="V82" s="66">
        <f t="shared" si="44"/>
        <v>1.4227642276422765</v>
      </c>
      <c r="W82" s="66">
        <f t="shared" si="45"/>
        <v>0.23439201444975225</v>
      </c>
      <c r="X82" s="63"/>
      <c r="Y82" s="66"/>
      <c r="Z82" s="236" t="str">
        <f t="shared" si="48"/>
        <v>Fully visible</v>
      </c>
      <c r="AA82" s="77" t="str">
        <f t="shared" si="46"/>
        <v>Partial visible</v>
      </c>
      <c r="AB82" s="234" t="str">
        <f t="shared" si="47"/>
        <v>Fully visible</v>
      </c>
    </row>
    <row r="83" spans="1:30" x14ac:dyDescent="0.35">
      <c r="A83" s="34" t="s">
        <v>77</v>
      </c>
      <c r="B83" s="125"/>
      <c r="C83" s="125"/>
      <c r="D83" s="125"/>
      <c r="E83" s="230">
        <v>1</v>
      </c>
      <c r="F83" s="231">
        <v>10</v>
      </c>
      <c r="G83" s="75">
        <f t="shared" si="34"/>
        <v>0.1</v>
      </c>
      <c r="H83" s="75">
        <f t="shared" si="35"/>
        <v>0.14760000000000001</v>
      </c>
      <c r="I83" s="75">
        <f t="shared" si="36"/>
        <v>8.9875517873681754E+17</v>
      </c>
      <c r="J83" s="231">
        <v>1</v>
      </c>
      <c r="K83" s="75">
        <f t="shared" si="37"/>
        <v>10</v>
      </c>
      <c r="L83" s="74">
        <f t="shared" si="38"/>
        <v>0.70466606179331215</v>
      </c>
      <c r="M83" s="74">
        <f t="shared" si="39"/>
        <v>0.70466606179331215</v>
      </c>
      <c r="N83" s="74">
        <f t="shared" si="40"/>
        <v>0.79175961999248556</v>
      </c>
      <c r="O83" s="231">
        <f t="shared" si="41"/>
        <v>0.11235955056179775</v>
      </c>
      <c r="P83" s="231">
        <f t="shared" si="42"/>
        <v>0.67940006943068787</v>
      </c>
      <c r="Q83" s="225"/>
      <c r="R83" s="225"/>
      <c r="S83" s="225"/>
      <c r="T83" s="225"/>
      <c r="U83" s="75">
        <f t="shared" si="43"/>
        <v>0.54344635264825158</v>
      </c>
      <c r="V83" s="75">
        <f t="shared" si="44"/>
        <v>2.2583559168925023</v>
      </c>
      <c r="W83" s="75">
        <f t="shared" si="45"/>
        <v>0.14766696910334393</v>
      </c>
      <c r="X83" s="72"/>
      <c r="Y83" s="75"/>
      <c r="Z83" s="232" t="str">
        <f t="shared" si="48"/>
        <v>Fully visible</v>
      </c>
      <c r="AA83" s="77" t="str">
        <f t="shared" si="46"/>
        <v>Fully visible</v>
      </c>
      <c r="AB83" s="231" t="str">
        <f t="shared" si="47"/>
        <v>Fully visible</v>
      </c>
    </row>
    <row r="84" spans="1:30" x14ac:dyDescent="0.35">
      <c r="A84" s="90" t="s">
        <v>57</v>
      </c>
      <c r="B84" s="75"/>
      <c r="C84" s="75"/>
      <c r="D84" s="75">
        <v>3.7E-8</v>
      </c>
      <c r="E84" s="73">
        <v>3.7E-8</v>
      </c>
      <c r="F84" s="74">
        <v>1737</v>
      </c>
      <c r="G84" s="75">
        <f t="shared" si="34"/>
        <v>2.1301093839953943E-11</v>
      </c>
      <c r="H84" s="75">
        <f t="shared" si="35"/>
        <v>3.1440414507772021E-11</v>
      </c>
      <c r="I84" s="75">
        <f t="shared" si="36"/>
        <v>4.2192912039617625E+27</v>
      </c>
      <c r="J84" s="74">
        <v>1</v>
      </c>
      <c r="K84" s="75">
        <f t="shared" si="37"/>
        <v>46945945945.945946</v>
      </c>
      <c r="L84" s="74">
        <f t="shared" si="38"/>
        <v>0.99999999993709066</v>
      </c>
      <c r="M84" s="74">
        <f t="shared" si="39"/>
        <v>0.99999999993709066</v>
      </c>
      <c r="N84" s="74">
        <f t="shared" si="40"/>
        <v>195.16853931356476</v>
      </c>
      <c r="O84" s="74">
        <f t="shared" si="41"/>
        <v>4.1573033707865164E-9</v>
      </c>
      <c r="P84" s="74">
        <f t="shared" si="42"/>
        <v>195.16853930940746</v>
      </c>
      <c r="Q84" s="75">
        <f>'[1]Mass Min'!M26</f>
        <v>195.16853930940746</v>
      </c>
      <c r="R84" s="75">
        <f>'[1]Mass Max'!M26</f>
        <v>195.16853930940746</v>
      </c>
      <c r="S84" s="75">
        <f t="shared" ref="S84:S97" si="49">0.000000000066743*(E84*1.98847E+30)/((F84*1000)^2)</f>
        <v>1.627521948147419</v>
      </c>
      <c r="T84" s="75">
        <f t="shared" ref="T84:T97" si="50">(F84*1000)/S84</f>
        <v>1067266.7130401516</v>
      </c>
      <c r="U84" s="75">
        <f t="shared" si="43"/>
        <v>7.9315420517474519E-6</v>
      </c>
      <c r="V84" s="75">
        <f t="shared" si="44"/>
        <v>10602065480.11426</v>
      </c>
      <c r="W84" s="75">
        <f t="shared" si="45"/>
        <v>3.1454679659319092E-11</v>
      </c>
      <c r="X84" s="75">
        <f t="shared" ref="X84:X97" si="51">LOG10(S84)</f>
        <v>0.21152685401137522</v>
      </c>
      <c r="Y84" s="75" t="s">
        <v>51</v>
      </c>
      <c r="Z84" s="194" t="str">
        <f t="shared" ref="Z84:Z97" si="52">IF(W84&lt;0.25,"Fully visible",
IF(W84&lt;0.3,"Partial visible",
IF(W84&lt;0.32,"Collapse boundary",
"Invisible (Black hole)")))</f>
        <v>Fully visible</v>
      </c>
      <c r="AA84" s="77" t="str">
        <f t="shared" si="46"/>
        <v>Fully visible</v>
      </c>
      <c r="AB84" s="74" t="str">
        <f t="shared" si="47"/>
        <v>Fully visible</v>
      </c>
      <c r="AC84" s="198">
        <f t="shared" ref="AC84:AC97" si="53">E84*1.788E+47</f>
        <v>6.6156000000000001E+39</v>
      </c>
      <c r="AD84" s="198">
        <f t="shared" ref="AD84:AD97" si="54">0.000000000066743*(E84*1.98847E+30)^2/(F84*1000)</f>
        <v>2.079923873017473E+29</v>
      </c>
    </row>
    <row r="85" spans="1:30" ht="15" thickBot="1" x14ac:dyDescent="0.4">
      <c r="A85" s="90" t="s">
        <v>58</v>
      </c>
      <c r="B85" s="75"/>
      <c r="C85" s="75"/>
      <c r="D85" s="75">
        <v>1.2</v>
      </c>
      <c r="E85" s="73">
        <v>1.2</v>
      </c>
      <c r="F85" s="74">
        <v>7000</v>
      </c>
      <c r="G85" s="75">
        <f t="shared" si="34"/>
        <v>1.7142857142857143E-4</v>
      </c>
      <c r="H85" s="75">
        <f t="shared" si="35"/>
        <v>2.5302857142857143E-4</v>
      </c>
      <c r="I85" s="75">
        <f t="shared" si="36"/>
        <v>5.2427385426314691E+20</v>
      </c>
      <c r="J85" s="74">
        <v>0.45</v>
      </c>
      <c r="K85" s="75">
        <f t="shared" si="37"/>
        <v>2625</v>
      </c>
      <c r="L85" s="74">
        <f t="shared" si="38"/>
        <v>0.99949371324878855</v>
      </c>
      <c r="M85" s="74">
        <f t="shared" si="39"/>
        <v>0.44977217096195488</v>
      </c>
      <c r="N85" s="74">
        <f t="shared" si="40"/>
        <v>353.75339289142516</v>
      </c>
      <c r="O85" s="74">
        <f t="shared" si="41"/>
        <v>0.1348314606741573</v>
      </c>
      <c r="P85" s="74">
        <f t="shared" si="42"/>
        <v>353.61856143075101</v>
      </c>
      <c r="Q85" s="75">
        <f>'[1]Mass Min'!M27</f>
        <v>353.61856143075101</v>
      </c>
      <c r="R85" s="75">
        <f>'[1]Mass Max'!M27</f>
        <v>353.61856143075101</v>
      </c>
      <c r="S85" s="75">
        <f t="shared" si="49"/>
        <v>3250198.8541224487</v>
      </c>
      <c r="T85" s="75">
        <f t="shared" si="50"/>
        <v>2.1537143769284834</v>
      </c>
      <c r="U85" s="75">
        <f t="shared" si="43"/>
        <v>2.2500816678766682E-2</v>
      </c>
      <c r="V85" s="75">
        <f t="shared" si="44"/>
        <v>1317.3742848539596</v>
      </c>
      <c r="W85" s="75">
        <f t="shared" si="45"/>
        <v>2.5314337560573244E-4</v>
      </c>
      <c r="X85" s="75">
        <f t="shared" si="51"/>
        <v>6.511909932857689</v>
      </c>
      <c r="Y85" s="75" t="s">
        <v>51</v>
      </c>
      <c r="Z85" s="194" t="str">
        <f t="shared" si="52"/>
        <v>Fully visible</v>
      </c>
      <c r="AA85" s="77" t="str">
        <f t="shared" si="46"/>
        <v>Fully visible</v>
      </c>
      <c r="AB85" s="74" t="str">
        <f t="shared" si="47"/>
        <v>Fully visible</v>
      </c>
      <c r="AC85" s="198">
        <f t="shared" si="53"/>
        <v>2.1455999999999999E+47</v>
      </c>
      <c r="AD85" s="198">
        <f t="shared" si="54"/>
        <v>5.4288552489837669E+43</v>
      </c>
    </row>
    <row r="86" spans="1:30" x14ac:dyDescent="0.35">
      <c r="A86" s="90" t="s">
        <v>59</v>
      </c>
      <c r="B86" s="75"/>
      <c r="C86" s="75"/>
      <c r="D86" s="75">
        <v>3.0000000000000001E-6</v>
      </c>
      <c r="E86" s="64">
        <v>3.0000000000000001E-6</v>
      </c>
      <c r="F86" s="65">
        <v>6371</v>
      </c>
      <c r="G86" s="66">
        <f t="shared" si="34"/>
        <v>4.7088369172814318E-10</v>
      </c>
      <c r="H86" s="66">
        <f t="shared" si="35"/>
        <v>6.9502432899073936E-10</v>
      </c>
      <c r="I86" s="66">
        <f t="shared" si="36"/>
        <v>1.9086564145774215E+26</v>
      </c>
      <c r="J86" s="65">
        <v>1</v>
      </c>
      <c r="K86" s="66">
        <f t="shared" si="37"/>
        <v>2123666666.6666665</v>
      </c>
      <c r="L86" s="65">
        <f t="shared" si="38"/>
        <v>0.99999999860932065</v>
      </c>
      <c r="M86" s="65">
        <f t="shared" si="39"/>
        <v>0.99999999860932065</v>
      </c>
      <c r="N86" s="65">
        <f t="shared" si="40"/>
        <v>715.84269563370583</v>
      </c>
      <c r="O86" s="65">
        <f t="shared" si="41"/>
        <v>3.3707865168539325E-7</v>
      </c>
      <c r="P86" s="65">
        <f t="shared" si="42"/>
        <v>715.8426952966272</v>
      </c>
      <c r="Q86" s="66">
        <f>'[1]Mass Min'!M28</f>
        <v>715.8426952966272</v>
      </c>
      <c r="R86" s="66">
        <f>'[1]Mass Max'!M28</f>
        <v>715.8426952966272</v>
      </c>
      <c r="S86" s="66">
        <f t="shared" si="49"/>
        <v>9.8091372532710999</v>
      </c>
      <c r="T86" s="66">
        <f t="shared" si="50"/>
        <v>649496.46798707324</v>
      </c>
      <c r="U86" s="66">
        <f t="shared" si="43"/>
        <v>3.729181346024573E-5</v>
      </c>
      <c r="V86" s="66">
        <f t="shared" si="44"/>
        <v>479599518.21740437</v>
      </c>
      <c r="W86" s="66">
        <f t="shared" si="45"/>
        <v>6.9533967557688238E-10</v>
      </c>
      <c r="X86" s="66">
        <f t="shared" si="51"/>
        <v>0.9916308113941571</v>
      </c>
      <c r="Y86" s="66" t="s">
        <v>51</v>
      </c>
      <c r="Z86" s="195" t="str">
        <f t="shared" si="52"/>
        <v>Fully visible</v>
      </c>
      <c r="AA86" s="77" t="str">
        <f t="shared" si="46"/>
        <v>Fully visible</v>
      </c>
      <c r="AB86" s="65" t="str">
        <f t="shared" si="47"/>
        <v>Fully visible</v>
      </c>
      <c r="AC86" s="198">
        <f t="shared" si="53"/>
        <v>5.3639999999999998E+41</v>
      </c>
      <c r="AD86" s="198">
        <f t="shared" si="54"/>
        <v>3.7280241271863104E+32</v>
      </c>
    </row>
    <row r="87" spans="1:30" x14ac:dyDescent="0.35">
      <c r="A87" s="90" t="s">
        <v>60</v>
      </c>
      <c r="B87" s="75"/>
      <c r="C87" s="75"/>
      <c r="D87" s="75">
        <v>0.33</v>
      </c>
      <c r="E87" s="73">
        <v>0.33</v>
      </c>
      <c r="F87" s="74">
        <v>45000</v>
      </c>
      <c r="G87" s="75">
        <f t="shared" si="34"/>
        <v>7.333333333333334E-6</v>
      </c>
      <c r="H87" s="75">
        <f t="shared" si="35"/>
        <v>1.0824E-5</v>
      </c>
      <c r="I87" s="75">
        <f t="shared" si="36"/>
        <v>1.225575243732024E+22</v>
      </c>
      <c r="J87" s="74">
        <v>0.8</v>
      </c>
      <c r="K87" s="75">
        <f t="shared" si="37"/>
        <v>109090.90909090909</v>
      </c>
      <c r="L87" s="74">
        <f t="shared" si="38"/>
        <v>0.99997834217786485</v>
      </c>
      <c r="M87" s="74">
        <f t="shared" si="39"/>
        <v>0.79998267374229193</v>
      </c>
      <c r="N87" s="74">
        <f t="shared" si="40"/>
        <v>4044.8562155509144</v>
      </c>
      <c r="O87" s="74">
        <f t="shared" si="41"/>
        <v>3.707865168539326E-2</v>
      </c>
      <c r="P87" s="74">
        <f t="shared" si="42"/>
        <v>4044.8191368992289</v>
      </c>
      <c r="Q87" s="75">
        <f>'[1]Mass Min'!M29</f>
        <v>4044.8191368992289</v>
      </c>
      <c r="R87" s="75">
        <f>'[1]Mass Max'!M29</f>
        <v>4044.8191368992289</v>
      </c>
      <c r="S87" s="75">
        <f t="shared" si="49"/>
        <v>21627.866449037036</v>
      </c>
      <c r="T87" s="75">
        <f t="shared" si="50"/>
        <v>2080.6490601389669</v>
      </c>
      <c r="U87" s="75">
        <f t="shared" si="43"/>
        <v>4.6537965291960403E-3</v>
      </c>
      <c r="V87" s="75">
        <f t="shared" si="44"/>
        <v>30795.762503079575</v>
      </c>
      <c r="W87" s="75">
        <f t="shared" si="45"/>
        <v>1.0828911067578554E-5</v>
      </c>
      <c r="X87" s="75">
        <f t="shared" si="51"/>
        <v>4.3350136791657778</v>
      </c>
      <c r="Y87" s="75" t="s">
        <v>51</v>
      </c>
      <c r="Z87" s="194" t="str">
        <f t="shared" si="52"/>
        <v>Fully visible</v>
      </c>
      <c r="AA87" s="77" t="str">
        <f t="shared" si="46"/>
        <v>Fully visible</v>
      </c>
      <c r="AB87" s="74" t="str">
        <f t="shared" si="47"/>
        <v>Fully visible</v>
      </c>
      <c r="AC87" s="198">
        <f t="shared" si="53"/>
        <v>5.9004000000000004E+46</v>
      </c>
      <c r="AD87" s="198">
        <f t="shared" si="54"/>
        <v>6.3864449942906259E+41</v>
      </c>
    </row>
    <row r="88" spans="1:30" x14ac:dyDescent="0.35">
      <c r="A88" s="90" t="s">
        <v>61</v>
      </c>
      <c r="B88" s="75"/>
      <c r="C88" s="75"/>
      <c r="D88" s="75">
        <v>9.5E-4</v>
      </c>
      <c r="E88" s="73">
        <v>9.5E-4</v>
      </c>
      <c r="F88" s="74">
        <v>69911</v>
      </c>
      <c r="G88" s="75">
        <f t="shared" si="34"/>
        <v>1.3588705640028036E-8</v>
      </c>
      <c r="H88" s="75">
        <f t="shared" si="35"/>
        <v>2.005692952468138E-8</v>
      </c>
      <c r="I88" s="75">
        <f t="shared" si="36"/>
        <v>6.6139866632283846E+24</v>
      </c>
      <c r="J88" s="74">
        <v>0.7</v>
      </c>
      <c r="K88" s="75">
        <f t="shared" si="37"/>
        <v>51513368.421052627</v>
      </c>
      <c r="L88" s="74">
        <f t="shared" si="38"/>
        <v>0.99999995986794044</v>
      </c>
      <c r="M88" s="74">
        <f t="shared" si="39"/>
        <v>0.69999997190755825</v>
      </c>
      <c r="N88" s="74">
        <f t="shared" si="40"/>
        <v>5498.6177568572248</v>
      </c>
      <c r="O88" s="74">
        <f t="shared" si="41"/>
        <v>1.0674157303370786E-4</v>
      </c>
      <c r="P88" s="74">
        <f t="shared" si="42"/>
        <v>5498.6176501156515</v>
      </c>
      <c r="Q88" s="75">
        <f>'[1]Mass Min'!M30</f>
        <v>5498.6176501156515</v>
      </c>
      <c r="R88" s="75">
        <f>'[1]Mass Max'!M30</f>
        <v>5498.6176501156515</v>
      </c>
      <c r="S88" s="75">
        <f t="shared" si="49"/>
        <v>25.796295522296116</v>
      </c>
      <c r="T88" s="75">
        <f t="shared" si="50"/>
        <v>2710117.8128299429</v>
      </c>
      <c r="U88" s="75">
        <f t="shared" si="43"/>
        <v>2.0032987674835001E-4</v>
      </c>
      <c r="V88" s="75">
        <f t="shared" si="44"/>
        <v>16619360.053249657</v>
      </c>
      <c r="W88" s="75">
        <f t="shared" si="45"/>
        <v>2.0066029759004554E-8</v>
      </c>
      <c r="X88" s="75">
        <f t="shared" si="51"/>
        <v>1.4115573435702866</v>
      </c>
      <c r="Y88" s="75" t="s">
        <v>51</v>
      </c>
      <c r="Z88" s="194" t="str">
        <f t="shared" si="52"/>
        <v>Fully visible</v>
      </c>
      <c r="AA88" s="77" t="str">
        <f t="shared" si="46"/>
        <v>Fully visible</v>
      </c>
      <c r="AB88" s="74" t="str">
        <f t="shared" si="47"/>
        <v>Fully visible</v>
      </c>
      <c r="AC88" s="198">
        <f t="shared" si="53"/>
        <v>1.6986E+44</v>
      </c>
      <c r="AD88" s="198">
        <f t="shared" si="54"/>
        <v>3.4067911180976675E+36</v>
      </c>
    </row>
    <row r="89" spans="1:30" ht="15" thickBot="1" x14ac:dyDescent="0.4">
      <c r="A89" s="90" t="s">
        <v>62</v>
      </c>
      <c r="B89" s="75"/>
      <c r="C89" s="75"/>
      <c r="D89" s="75">
        <v>6.9500000000000006E-2</v>
      </c>
      <c r="E89" s="73">
        <v>6.9500000000000006E-2</v>
      </c>
      <c r="F89" s="74">
        <v>70000</v>
      </c>
      <c r="G89" s="75">
        <f t="shared" si="34"/>
        <v>9.9285714285714294E-7</v>
      </c>
      <c r="H89" s="75">
        <f t="shared" si="35"/>
        <v>1.4654571428571429E-6</v>
      </c>
      <c r="I89" s="75">
        <f t="shared" si="36"/>
        <v>9.052210433320464E+22</v>
      </c>
      <c r="J89" s="74">
        <v>0.7</v>
      </c>
      <c r="K89" s="75">
        <f t="shared" si="37"/>
        <v>705035.97122302151</v>
      </c>
      <c r="L89" s="74">
        <f t="shared" si="38"/>
        <v>0.99999706775589925</v>
      </c>
      <c r="M89" s="74">
        <f t="shared" si="39"/>
        <v>0.69999794742912946</v>
      </c>
      <c r="N89" s="74">
        <f t="shared" si="40"/>
        <v>5505.6018337122541</v>
      </c>
      <c r="O89" s="74">
        <f t="shared" si="41"/>
        <v>7.8089887640449438E-3</v>
      </c>
      <c r="P89" s="74">
        <f t="shared" si="42"/>
        <v>5505.5940247234903</v>
      </c>
      <c r="Q89" s="75">
        <f>'[1]Mass Min'!M31</f>
        <v>5505.5940247234903</v>
      </c>
      <c r="R89" s="75">
        <f>'[1]Mass Max'!M31</f>
        <v>5505.5940247234903</v>
      </c>
      <c r="S89" s="75">
        <f t="shared" si="49"/>
        <v>1882.4068363459182</v>
      </c>
      <c r="T89" s="75">
        <f t="shared" si="50"/>
        <v>37186.435285096115</v>
      </c>
      <c r="U89" s="75">
        <f t="shared" si="43"/>
        <v>1.7123796602291211E-3</v>
      </c>
      <c r="V89" s="75">
        <f t="shared" si="44"/>
        <v>227460.30817622325</v>
      </c>
      <c r="W89" s="75">
        <f t="shared" si="45"/>
        <v>1.4661220503832004E-6</v>
      </c>
      <c r="X89" s="75">
        <f t="shared" si="51"/>
        <v>3.2747134914001776</v>
      </c>
      <c r="Y89" s="75" t="s">
        <v>51</v>
      </c>
      <c r="Z89" s="194" t="str">
        <f t="shared" si="52"/>
        <v>Fully visible</v>
      </c>
      <c r="AA89" s="77" t="str">
        <f t="shared" si="46"/>
        <v>Fully visible</v>
      </c>
      <c r="AB89" s="74" t="str">
        <f t="shared" si="47"/>
        <v>Fully visible</v>
      </c>
      <c r="AC89" s="198">
        <f t="shared" si="53"/>
        <v>1.2426600000000001E+46</v>
      </c>
      <c r="AD89" s="198">
        <f t="shared" si="54"/>
        <v>1.8210227823891559E+40</v>
      </c>
    </row>
    <row r="90" spans="1:30" x14ac:dyDescent="0.35">
      <c r="A90" s="90" t="s">
        <v>63</v>
      </c>
      <c r="B90" s="75"/>
      <c r="C90" s="75"/>
      <c r="D90" s="75">
        <v>1</v>
      </c>
      <c r="E90" s="64">
        <v>1</v>
      </c>
      <c r="F90" s="65">
        <v>696340</v>
      </c>
      <c r="G90" s="66">
        <f t="shared" si="34"/>
        <v>1.436080075825028E-6</v>
      </c>
      <c r="H90" s="66">
        <f t="shared" si="35"/>
        <v>2.1196541919177413E-6</v>
      </c>
      <c r="I90" s="66">
        <f t="shared" si="36"/>
        <v>6.2583918116159558E+22</v>
      </c>
      <c r="J90" s="65">
        <v>0.96</v>
      </c>
      <c r="K90" s="66">
        <f t="shared" si="37"/>
        <v>668486.40000000002</v>
      </c>
      <c r="L90" s="65">
        <f t="shared" si="38"/>
        <v>0.99999575876815627</v>
      </c>
      <c r="M90" s="65">
        <f t="shared" si="39"/>
        <v>0.95999592841742998</v>
      </c>
      <c r="N90" s="65">
        <f t="shared" si="40"/>
        <v>75110.51289822394</v>
      </c>
      <c r="O90" s="65">
        <f t="shared" si="41"/>
        <v>0.11235955056179775</v>
      </c>
      <c r="P90" s="65">
        <f t="shared" si="42"/>
        <v>75110.400538673377</v>
      </c>
      <c r="Q90" s="66">
        <f>'[1]Mass Min'!M32</f>
        <v>75110.400538673377</v>
      </c>
      <c r="R90" s="66">
        <f>'[1]Mass Max'!M32</f>
        <v>75110.400538673377</v>
      </c>
      <c r="S90" s="66">
        <f t="shared" si="49"/>
        <v>273.70458998340689</v>
      </c>
      <c r="T90" s="66">
        <f t="shared" si="50"/>
        <v>2544129.7862129933</v>
      </c>
      <c r="U90" s="66">
        <f t="shared" si="43"/>
        <v>2.0594251245761872E-3</v>
      </c>
      <c r="V90" s="66">
        <f t="shared" si="44"/>
        <v>157258.3559168925</v>
      </c>
      <c r="W90" s="66">
        <f t="shared" si="45"/>
        <v>2.1206159218678218E-6</v>
      </c>
      <c r="X90" s="66">
        <f t="shared" si="51"/>
        <v>2.4372820805221114</v>
      </c>
      <c r="Y90" s="66" t="s">
        <v>51</v>
      </c>
      <c r="Z90" s="195" t="str">
        <f t="shared" si="52"/>
        <v>Fully visible</v>
      </c>
      <c r="AA90" s="77" t="str">
        <f t="shared" si="46"/>
        <v>Fully visible</v>
      </c>
      <c r="AB90" s="65" t="str">
        <f t="shared" si="47"/>
        <v>Fully visible</v>
      </c>
      <c r="AC90" s="198">
        <f t="shared" si="53"/>
        <v>1.788E+47</v>
      </c>
      <c r="AD90" s="198">
        <f t="shared" si="54"/>
        <v>3.7898538891129144E+41</v>
      </c>
    </row>
    <row r="91" spans="1:30" x14ac:dyDescent="0.35">
      <c r="A91" s="90" t="s">
        <v>64</v>
      </c>
      <c r="B91" s="75"/>
      <c r="C91" s="75"/>
      <c r="D91" s="75">
        <v>300</v>
      </c>
      <c r="E91" s="73">
        <v>300</v>
      </c>
      <c r="F91" s="74">
        <v>20000000</v>
      </c>
      <c r="G91" s="75">
        <f t="shared" si="34"/>
        <v>1.5E-5</v>
      </c>
      <c r="H91" s="75">
        <f t="shared" si="35"/>
        <v>2.2140000000000001E-5</v>
      </c>
      <c r="I91" s="75">
        <f t="shared" si="36"/>
        <v>5.9917011915787836E+21</v>
      </c>
      <c r="J91" s="74">
        <v>0.7</v>
      </c>
      <c r="K91" s="75">
        <f t="shared" si="37"/>
        <v>46666.666666666664</v>
      </c>
      <c r="L91" s="74">
        <f t="shared" si="38"/>
        <v>0.99995569990926902</v>
      </c>
      <c r="M91" s="74">
        <f t="shared" si="39"/>
        <v>0.69996898993648826</v>
      </c>
      <c r="N91" s="74">
        <f t="shared" si="40"/>
        <v>1572964.0223291873</v>
      </c>
      <c r="O91" s="74">
        <f t="shared" si="41"/>
        <v>33.707865168539321</v>
      </c>
      <c r="P91" s="74">
        <f t="shared" si="42"/>
        <v>1572930.3144640187</v>
      </c>
      <c r="Q91" s="75">
        <f>'[1]Mass Min'!M33</f>
        <v>1572930.3144640187</v>
      </c>
      <c r="R91" s="75">
        <f>'[1]Mass Max'!M33</f>
        <v>1572930.3144640187</v>
      </c>
      <c r="S91" s="75">
        <f t="shared" si="49"/>
        <v>99.537339907499984</v>
      </c>
      <c r="T91" s="75">
        <f t="shared" si="50"/>
        <v>200929621.17117047</v>
      </c>
      <c r="U91" s="75">
        <f t="shared" si="43"/>
        <v>6.6558313328241104E-3</v>
      </c>
      <c r="V91" s="75">
        <f t="shared" si="44"/>
        <v>15055.706112616681</v>
      </c>
      <c r="W91" s="75">
        <f t="shared" si="45"/>
        <v>2.2150045365501587E-5</v>
      </c>
      <c r="X91" s="75">
        <f t="shared" si="51"/>
        <v>1.9979860302302774</v>
      </c>
      <c r="Y91" s="75" t="s">
        <v>51</v>
      </c>
      <c r="Z91" s="194" t="str">
        <f t="shared" si="52"/>
        <v>Fully visible</v>
      </c>
      <c r="AA91" s="77" t="str">
        <f t="shared" si="46"/>
        <v>Fully visible</v>
      </c>
      <c r="AB91" s="74" t="str">
        <f t="shared" si="47"/>
        <v>Fully visible</v>
      </c>
      <c r="AC91" s="198">
        <f t="shared" si="53"/>
        <v>5.3640000000000005E+49</v>
      </c>
      <c r="AD91" s="198">
        <f t="shared" si="54"/>
        <v>1.1875620857151991E+45</v>
      </c>
    </row>
    <row r="92" spans="1:30" x14ac:dyDescent="0.35">
      <c r="A92" s="90" t="s">
        <v>65</v>
      </c>
      <c r="B92" s="75"/>
      <c r="C92" s="75"/>
      <c r="D92" s="75">
        <v>17</v>
      </c>
      <c r="E92" s="73">
        <v>17</v>
      </c>
      <c r="F92" s="74">
        <v>600000000</v>
      </c>
      <c r="G92" s="75">
        <f t="shared" si="34"/>
        <v>2.8333333333333332E-8</v>
      </c>
      <c r="H92" s="75">
        <f t="shared" si="35"/>
        <v>4.182E-8</v>
      </c>
      <c r="I92" s="75">
        <f t="shared" si="36"/>
        <v>3.1720771014240622E+24</v>
      </c>
      <c r="J92" s="74">
        <v>0.7</v>
      </c>
      <c r="K92" s="75">
        <f t="shared" si="37"/>
        <v>24705882.352941174</v>
      </c>
      <c r="L92" s="74">
        <f t="shared" si="38"/>
        <v>0.99999991632205087</v>
      </c>
      <c r="M92" s="74">
        <f t="shared" si="39"/>
        <v>0.69999994142543553</v>
      </c>
      <c r="N92" s="74">
        <f t="shared" si="40"/>
        <v>47191007.287108012</v>
      </c>
      <c r="O92" s="74">
        <f t="shared" si="41"/>
        <v>1.9101123595505618</v>
      </c>
      <c r="P92" s="74">
        <f t="shared" si="42"/>
        <v>47191005.376995653</v>
      </c>
      <c r="Q92" s="75">
        <f>'[1]Mass Min'!M34</f>
        <v>47191005.376995653</v>
      </c>
      <c r="R92" s="75">
        <f>'[1]Mass Max'!M34</f>
        <v>47191005.376995653</v>
      </c>
      <c r="S92" s="75">
        <f t="shared" si="49"/>
        <v>6.2671658460277772E-3</v>
      </c>
      <c r="T92" s="75">
        <f t="shared" si="50"/>
        <v>95737054793322.391</v>
      </c>
      <c r="U92" s="75">
        <f t="shared" si="43"/>
        <v>2.8927141089046728E-4</v>
      </c>
      <c r="V92" s="75">
        <f t="shared" si="44"/>
        <v>7970667.9419735381</v>
      </c>
      <c r="W92" s="75">
        <f t="shared" si="45"/>
        <v>4.183897457928077E-8</v>
      </c>
      <c r="X92" s="75">
        <f t="shared" si="51"/>
        <v>-2.2029288125504358</v>
      </c>
      <c r="Y92" s="75" t="s">
        <v>51</v>
      </c>
      <c r="Z92" s="194" t="str">
        <f t="shared" si="52"/>
        <v>Fully visible</v>
      </c>
      <c r="AA92" s="77" t="str">
        <f t="shared" si="46"/>
        <v>Fully visible</v>
      </c>
      <c r="AB92" s="74" t="str">
        <f t="shared" si="47"/>
        <v>Fully visible</v>
      </c>
      <c r="AC92" s="198">
        <f t="shared" si="53"/>
        <v>3.0396000000000002E+48</v>
      </c>
      <c r="AD92" s="198">
        <f t="shared" si="54"/>
        <v>1.2711312695247871E+41</v>
      </c>
    </row>
    <row r="93" spans="1:30" ht="15" thickBot="1" x14ac:dyDescent="0.4">
      <c r="A93" s="91" t="s">
        <v>66</v>
      </c>
      <c r="B93" s="92"/>
      <c r="C93" s="92"/>
      <c r="D93" s="92">
        <v>20</v>
      </c>
      <c r="E93" s="73">
        <v>20</v>
      </c>
      <c r="F93" s="74">
        <v>1000000000</v>
      </c>
      <c r="G93" s="75">
        <f t="shared" si="34"/>
        <v>2E-8</v>
      </c>
      <c r="H93" s="75">
        <f t="shared" si="35"/>
        <v>2.9519999999999999E-8</v>
      </c>
      <c r="I93" s="75">
        <f t="shared" si="36"/>
        <v>4.4937758936840878E+24</v>
      </c>
      <c r="J93" s="165">
        <v>0.7</v>
      </c>
      <c r="K93" s="92">
        <f t="shared" si="37"/>
        <v>35000000</v>
      </c>
      <c r="L93" s="74">
        <f t="shared" si="38"/>
        <v>0.99999994093321232</v>
      </c>
      <c r="M93" s="74">
        <f t="shared" si="39"/>
        <v>0.6999999586532486</v>
      </c>
      <c r="N93" s="74">
        <f t="shared" si="40"/>
        <v>78651680.747556016</v>
      </c>
      <c r="O93" s="165">
        <f t="shared" si="41"/>
        <v>2.2471910112359548</v>
      </c>
      <c r="P93" s="165">
        <f t="shared" si="42"/>
        <v>78651678.500365004</v>
      </c>
      <c r="Q93" s="75">
        <f>'[1]Mass Min'!M35</f>
        <v>78651678.500365004</v>
      </c>
      <c r="R93" s="75">
        <f>'[1]Mass Max'!M35</f>
        <v>78651678.500365004</v>
      </c>
      <c r="S93" s="75">
        <f t="shared" si="49"/>
        <v>2.6543290641999999E-3</v>
      </c>
      <c r="T93" s="75">
        <f t="shared" si="50"/>
        <v>376743039695944.56</v>
      </c>
      <c r="U93" s="75">
        <f t="shared" si="43"/>
        <v>2.4303659732916266E-4</v>
      </c>
      <c r="V93" s="75">
        <f t="shared" si="44"/>
        <v>11291779.58446251</v>
      </c>
      <c r="W93" s="75">
        <f t="shared" si="45"/>
        <v>2.9533393820668782E-8</v>
      </c>
      <c r="X93" s="75">
        <f t="shared" si="51"/>
        <v>-2.5760452374974414</v>
      </c>
      <c r="Y93" s="75" t="s">
        <v>51</v>
      </c>
      <c r="Z93" s="194" t="str">
        <f t="shared" si="52"/>
        <v>Fully visible</v>
      </c>
      <c r="AA93" s="77" t="str">
        <f t="shared" si="46"/>
        <v>Fully visible</v>
      </c>
      <c r="AB93" s="165" t="str">
        <f t="shared" si="47"/>
        <v>Fully visible</v>
      </c>
      <c r="AC93" s="198">
        <f t="shared" si="53"/>
        <v>3.5759999999999998E+48</v>
      </c>
      <c r="AD93" s="198">
        <f t="shared" si="54"/>
        <v>1.0556107428579549E+41</v>
      </c>
    </row>
    <row r="94" spans="1:30" x14ac:dyDescent="0.35">
      <c r="A94" s="174" t="s">
        <v>67</v>
      </c>
      <c r="B94" s="92"/>
      <c r="C94" s="92"/>
      <c r="D94" s="92">
        <v>25</v>
      </c>
      <c r="E94" s="64">
        <v>25</v>
      </c>
      <c r="F94" s="65">
        <v>1900000000</v>
      </c>
      <c r="G94" s="66">
        <f t="shared" si="34"/>
        <v>1.3157894736842106E-8</v>
      </c>
      <c r="H94" s="66">
        <f t="shared" si="35"/>
        <v>1.9421052631578949E-8</v>
      </c>
      <c r="I94" s="66">
        <f t="shared" si="36"/>
        <v>6.8305393583998134E+24</v>
      </c>
      <c r="J94" s="183">
        <v>0.7</v>
      </c>
      <c r="K94" s="184">
        <f t="shared" si="37"/>
        <v>53199999.999999993</v>
      </c>
      <c r="L94" s="65">
        <f t="shared" si="38"/>
        <v>0.99999996114027134</v>
      </c>
      <c r="M94" s="65">
        <f t="shared" si="39"/>
        <v>0.69999997279818993</v>
      </c>
      <c r="N94" s="65">
        <f t="shared" si="40"/>
        <v>149438196.44006303</v>
      </c>
      <c r="O94" s="183">
        <f t="shared" si="41"/>
        <v>2.8089887640449436</v>
      </c>
      <c r="P94" s="183">
        <f t="shared" si="42"/>
        <v>149438193.63107428</v>
      </c>
      <c r="Q94" s="66">
        <f>'[1]Mass Min'!M36</f>
        <v>149438193.63107428</v>
      </c>
      <c r="R94" s="66">
        <f>'[1]Mass Max'!M36</f>
        <v>149438193.63107428</v>
      </c>
      <c r="S94" s="66">
        <f t="shared" si="49"/>
        <v>9.1908901114958418E-4</v>
      </c>
      <c r="T94" s="66">
        <f t="shared" si="50"/>
        <v>2067264407419587.7</v>
      </c>
      <c r="U94" s="66">
        <f t="shared" si="43"/>
        <v>1.9712871102760827E-4</v>
      </c>
      <c r="V94" s="66">
        <f t="shared" si="44"/>
        <v>17163504.968383018</v>
      </c>
      <c r="W94" s="66">
        <f t="shared" si="45"/>
        <v>1.9429864355703144E-8</v>
      </c>
      <c r="X94" s="66">
        <f t="shared" si="51"/>
        <v>-3.0366424263950429</v>
      </c>
      <c r="Y94" s="66" t="s">
        <v>51</v>
      </c>
      <c r="Z94" s="195" t="str">
        <f t="shared" si="52"/>
        <v>Fully visible</v>
      </c>
      <c r="AA94" s="77" t="str">
        <f t="shared" si="46"/>
        <v>Fully visible</v>
      </c>
      <c r="AB94" s="183" t="str">
        <f t="shared" si="47"/>
        <v>Fully visible</v>
      </c>
      <c r="AC94" s="198">
        <f t="shared" si="53"/>
        <v>4.4699999999999997E+48</v>
      </c>
      <c r="AD94" s="198">
        <f t="shared" si="54"/>
        <v>8.6810093985029146E+40</v>
      </c>
    </row>
    <row r="95" spans="1:30" x14ac:dyDescent="0.35">
      <c r="A95" s="70" t="s">
        <v>52</v>
      </c>
      <c r="B95" s="71"/>
      <c r="C95" s="71"/>
      <c r="D95" s="72"/>
      <c r="E95" s="73">
        <v>2000000000000</v>
      </c>
      <c r="F95" s="74">
        <v>5.67642E+17</v>
      </c>
      <c r="G95" s="75">
        <f t="shared" si="34"/>
        <v>3.5233474619566559E-6</v>
      </c>
      <c r="H95" s="75">
        <f t="shared" si="35"/>
        <v>5.2004608538480238E-6</v>
      </c>
      <c r="I95" s="75">
        <f t="shared" si="36"/>
        <v>2.5508559358426232E+22</v>
      </c>
      <c r="J95" s="74">
        <v>0.9</v>
      </c>
      <c r="K95" s="75">
        <f t="shared" si="37"/>
        <v>255438.9</v>
      </c>
      <c r="L95" s="74">
        <f t="shared" si="38"/>
        <v>0.99998959435918389</v>
      </c>
      <c r="M95" s="74">
        <f t="shared" si="39"/>
        <v>0.89999063492326548</v>
      </c>
      <c r="N95" s="74">
        <f t="shared" si="40"/>
        <v>5.7401402695405872E+16</v>
      </c>
      <c r="O95" s="74">
        <f t="shared" si="41"/>
        <v>224719101123.59549</v>
      </c>
      <c r="P95" s="74">
        <f t="shared" si="42"/>
        <v>5.7401177976304752E+16</v>
      </c>
      <c r="Q95" s="75">
        <f>'[1]Mass Min'!M22</f>
        <v>-5.3251024681875772E-2</v>
      </c>
      <c r="R95" s="75">
        <f>'[1]Mass Max'!M22</f>
        <v>-0.12602259424404921</v>
      </c>
      <c r="S95" s="75">
        <f t="shared" si="49"/>
        <v>8.2376952124286572E-10</v>
      </c>
      <c r="T95" s="75">
        <f t="shared" si="50"/>
        <v>6.8907866261374635E+29</v>
      </c>
      <c r="U95" s="75">
        <f t="shared" si="43"/>
        <v>3.2257775521728053E-3</v>
      </c>
      <c r="V95" s="75">
        <f t="shared" si="44"/>
        <v>64096.883468834691</v>
      </c>
      <c r="W95" s="75">
        <f t="shared" si="45"/>
        <v>5.202820408050987E-6</v>
      </c>
      <c r="X95" s="75">
        <f t="shared" si="51"/>
        <v>-9.0841942806011478</v>
      </c>
      <c r="Y95" s="75" t="s">
        <v>51</v>
      </c>
      <c r="Z95" s="194" t="str">
        <f t="shared" si="52"/>
        <v>Fully visible</v>
      </c>
      <c r="AA95" s="77" t="str">
        <f t="shared" si="46"/>
        <v>Fully visible</v>
      </c>
      <c r="AB95" s="74" t="str">
        <f t="shared" si="47"/>
        <v>Fully visible</v>
      </c>
      <c r="AC95" s="198">
        <f t="shared" si="53"/>
        <v>3.5759999999999998E+59</v>
      </c>
      <c r="AD95" s="198">
        <f t="shared" si="54"/>
        <v>1.8596417158313779E+54</v>
      </c>
    </row>
    <row r="96" spans="1:30" x14ac:dyDescent="0.35">
      <c r="A96" s="70" t="s">
        <v>53</v>
      </c>
      <c r="B96" s="71"/>
      <c r="C96" s="71"/>
      <c r="D96" s="72"/>
      <c r="E96" s="73">
        <v>100000000000000</v>
      </c>
      <c r="F96" s="74">
        <v>1.89214E+19</v>
      </c>
      <c r="G96" s="75">
        <f t="shared" si="34"/>
        <v>5.2850211929349838E-6</v>
      </c>
      <c r="H96" s="75">
        <f t="shared" si="35"/>
        <v>7.8006912807720352E-6</v>
      </c>
      <c r="I96" s="75">
        <f t="shared" si="36"/>
        <v>1.700570623895082E+22</v>
      </c>
      <c r="J96" s="74">
        <v>0.9</v>
      </c>
      <c r="K96" s="75">
        <f t="shared" si="37"/>
        <v>170292.6</v>
      </c>
      <c r="L96" s="74">
        <f t="shared" si="38"/>
        <v>0.99998439153877583</v>
      </c>
      <c r="M96" s="74">
        <f t="shared" si="39"/>
        <v>0.89998595238489831</v>
      </c>
      <c r="N96" s="74">
        <f t="shared" si="40"/>
        <v>1.9133701347702938E+18</v>
      </c>
      <c r="O96" s="74">
        <f t="shared" si="41"/>
        <v>11235955056179.775</v>
      </c>
      <c r="P96" s="74">
        <f t="shared" si="42"/>
        <v>1.9133588988152376E+18</v>
      </c>
      <c r="Q96" s="75">
        <f>'[1]Mass Min'!M23</f>
        <v>-3.4202328746969116E-2</v>
      </c>
      <c r="R96" s="75">
        <f>'[1]Mass Max'!M23</f>
        <v>-9.2419584396707916E-2</v>
      </c>
      <c r="S96" s="75">
        <f t="shared" si="49"/>
        <v>3.7069628455928944E-11</v>
      </c>
      <c r="T96" s="75">
        <f t="shared" si="50"/>
        <v>5.1042863897314567E+32</v>
      </c>
      <c r="U96" s="75">
        <f t="shared" si="43"/>
        <v>3.9507545132737567E-3</v>
      </c>
      <c r="V96" s="75">
        <f t="shared" si="44"/>
        <v>42731.255645889789</v>
      </c>
      <c r="W96" s="75">
        <f t="shared" si="45"/>
        <v>7.8042306120764797E-6</v>
      </c>
      <c r="X96" s="75">
        <f t="shared" si="51"/>
        <v>-10.430981766825804</v>
      </c>
      <c r="Y96" s="75" t="s">
        <v>51</v>
      </c>
      <c r="Z96" s="194" t="str">
        <f t="shared" si="52"/>
        <v>Fully visible</v>
      </c>
      <c r="AA96" s="77" t="str">
        <f t="shared" si="46"/>
        <v>Fully visible</v>
      </c>
      <c r="AB96" s="74" t="str">
        <f t="shared" si="47"/>
        <v>Fully visible</v>
      </c>
      <c r="AC96" s="198">
        <f t="shared" si="53"/>
        <v>1.7879999999999999E+61</v>
      </c>
      <c r="AD96" s="198">
        <f t="shared" si="54"/>
        <v>1.3947312868735328E+56</v>
      </c>
    </row>
    <row r="97" spans="1:30" ht="15" thickBot="1" x14ac:dyDescent="0.4">
      <c r="A97" s="79" t="s">
        <v>50</v>
      </c>
      <c r="B97" s="71"/>
      <c r="C97" s="71"/>
      <c r="D97" s="72"/>
      <c r="E97" s="82">
        <v>1200000000000000</v>
      </c>
      <c r="F97" s="83">
        <v>4.62852E+19</v>
      </c>
      <c r="G97" s="84">
        <f t="shared" si="34"/>
        <v>2.5926213994970316E-5</v>
      </c>
      <c r="H97" s="84">
        <f t="shared" si="35"/>
        <v>3.8267091856576183E-5</v>
      </c>
      <c r="I97" s="84">
        <f t="shared" si="36"/>
        <v>3.4665885999057789E+21</v>
      </c>
      <c r="J97" s="83">
        <v>1</v>
      </c>
      <c r="K97" s="84">
        <f t="shared" si="37"/>
        <v>38571</v>
      </c>
      <c r="L97" s="83">
        <f t="shared" si="38"/>
        <v>0.99992343109118076</v>
      </c>
      <c r="M97" s="83">
        <f t="shared" si="39"/>
        <v>0.99992343109118076</v>
      </c>
      <c r="N97" s="83">
        <f t="shared" si="40"/>
        <v>5.2001860666001705E+18</v>
      </c>
      <c r="O97" s="83">
        <f t="shared" si="41"/>
        <v>134831460674157.3</v>
      </c>
      <c r="P97" s="83">
        <f t="shared" si="42"/>
        <v>5.2000512351394959E+18</v>
      </c>
      <c r="Q97" s="84">
        <f>'[1]Mass Min'!M23</f>
        <v>-3.4202328746969116E-2</v>
      </c>
      <c r="R97" s="84">
        <f>'[1]Mass Max'!M23</f>
        <v>-9.2419584396707916E-2</v>
      </c>
      <c r="S97" s="84">
        <f t="shared" si="49"/>
        <v>7.4339857375055645E-11</v>
      </c>
      <c r="T97" s="84">
        <f t="shared" si="50"/>
        <v>6.2261620662633605E+32</v>
      </c>
      <c r="U97" s="84">
        <f t="shared" si="43"/>
        <v>8.7503662105788051E-3</v>
      </c>
      <c r="V97" s="84">
        <f t="shared" si="44"/>
        <v>8710.704607046071</v>
      </c>
      <c r="W97" s="84">
        <f t="shared" si="45"/>
        <v>3.8284454409619648E-5</v>
      </c>
      <c r="X97" s="84">
        <f t="shared" si="51"/>
        <v>-10.128778276456405</v>
      </c>
      <c r="Y97" s="84" t="s">
        <v>51</v>
      </c>
      <c r="Z97" s="196" t="str">
        <f t="shared" si="52"/>
        <v>Fully visible</v>
      </c>
      <c r="AA97" s="77" t="str">
        <f t="shared" si="46"/>
        <v>Fully visible</v>
      </c>
      <c r="AB97" s="83" t="str">
        <f t="shared" si="47"/>
        <v>Fully visible</v>
      </c>
      <c r="AC97" s="198">
        <f t="shared" si="53"/>
        <v>2.1455999999999999E+62</v>
      </c>
      <c r="AD97" s="198">
        <f t="shared" si="54"/>
        <v>8.2103970044174758E+57</v>
      </c>
    </row>
  </sheetData>
  <sortState ref="A2:AD97">
    <sortCondition ref="P2:P9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Borges</dc:creator>
  <cp:lastModifiedBy>Pedro Borges</cp:lastModifiedBy>
  <dcterms:created xsi:type="dcterms:W3CDTF">2026-03-07T20:12:01Z</dcterms:created>
  <dcterms:modified xsi:type="dcterms:W3CDTF">2026-03-09T22:03:44Z</dcterms:modified>
</cp:coreProperties>
</file>